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1E2AD95-8A61-4DBD-A5A5-1228300E38DE}" xr6:coauthVersionLast="47" xr6:coauthVersionMax="47" xr10:uidLastSave="{00000000-0000-0000-0000-000000000000}"/>
  <bookViews>
    <workbookView xWindow="-108" yWindow="-108" windowWidth="23256" windowHeight="12456" firstSheet="2" activeTab="8" xr2:uid="{5DB67C3A-F193-4676-AE69-9F7E9A5DB3D2}"/>
  </bookViews>
  <sheets>
    <sheet name="Encaissement" sheetId="26" state="hidden" r:id="rId1"/>
    <sheet name="Décaissements" sheetId="27" state="hidden" r:id="rId2"/>
    <sheet name="Gestion Entrées" sheetId="22" r:id="rId3"/>
    <sheet name="Gestion des Sortie" sheetId="23" r:id="rId4"/>
    <sheet name="Journal des ventes" sheetId="20" state="hidden" r:id="rId5"/>
    <sheet name="Transfert de stock" sheetId="24" r:id="rId6"/>
    <sheet name="Inventaire" sheetId="25" r:id="rId7"/>
    <sheet name="STOCK" sheetId="28" r:id="rId8"/>
    <sheet name="Amortissements" sheetId="2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7" i="29" l="1"/>
  <c r="J207" i="29"/>
  <c r="K206" i="29"/>
  <c r="J206" i="29"/>
  <c r="K205" i="29"/>
  <c r="J205" i="29"/>
  <c r="K204" i="29"/>
  <c r="J204" i="29"/>
  <c r="K203" i="29"/>
  <c r="J203" i="29"/>
  <c r="K202" i="29"/>
  <c r="J202" i="29"/>
  <c r="K201" i="29"/>
  <c r="J201" i="29"/>
  <c r="K200" i="29"/>
  <c r="J200" i="29"/>
  <c r="K198" i="29"/>
  <c r="J198" i="29"/>
  <c r="K197" i="29"/>
  <c r="J197" i="29"/>
  <c r="K196" i="29"/>
  <c r="J196" i="29"/>
  <c r="K195" i="29"/>
  <c r="J195" i="29"/>
  <c r="K194" i="29"/>
  <c r="J194" i="29"/>
  <c r="K193" i="29"/>
  <c r="J193" i="29"/>
  <c r="K192" i="29"/>
  <c r="J192" i="29"/>
  <c r="K191" i="29"/>
  <c r="J191" i="29"/>
  <c r="K190" i="29"/>
  <c r="J190" i="29"/>
  <c r="K189" i="29"/>
  <c r="J189" i="29"/>
  <c r="K188" i="29"/>
  <c r="J188" i="29"/>
  <c r="K187" i="29"/>
  <c r="J187" i="29"/>
  <c r="K186" i="29"/>
  <c r="J186" i="29"/>
  <c r="K185" i="29"/>
  <c r="J185" i="29"/>
  <c r="K184" i="29"/>
  <c r="J184" i="29"/>
  <c r="K176" i="29"/>
  <c r="J176" i="29"/>
  <c r="K175" i="29"/>
  <c r="J175" i="29"/>
  <c r="K174" i="29"/>
  <c r="J174" i="29"/>
  <c r="K173" i="29"/>
  <c r="J173" i="29"/>
  <c r="K172" i="29"/>
  <c r="J172" i="29"/>
  <c r="K171" i="29"/>
  <c r="J171" i="29"/>
  <c r="K170" i="29"/>
  <c r="J170" i="29"/>
  <c r="K169" i="29"/>
  <c r="J169" i="29"/>
  <c r="K168" i="29"/>
  <c r="J168" i="29"/>
  <c r="K167" i="29"/>
  <c r="J167" i="29"/>
  <c r="K166" i="29"/>
  <c r="J166" i="29"/>
  <c r="K165" i="29"/>
  <c r="J165" i="29"/>
  <c r="K164" i="29"/>
  <c r="J164" i="29"/>
  <c r="K163" i="29"/>
  <c r="J163" i="29"/>
  <c r="K156" i="29"/>
  <c r="J156" i="29"/>
  <c r="K155" i="29"/>
  <c r="J155" i="29"/>
  <c r="K154" i="29"/>
  <c r="J154" i="29"/>
  <c r="K153" i="29"/>
  <c r="J153" i="29"/>
  <c r="K152" i="29"/>
  <c r="J152" i="29"/>
  <c r="K151" i="29"/>
  <c r="J151" i="29"/>
  <c r="K150" i="29"/>
  <c r="J150" i="29"/>
  <c r="K149" i="29"/>
  <c r="J149" i="29"/>
  <c r="K148" i="29"/>
  <c r="J148" i="29"/>
  <c r="K147" i="29"/>
  <c r="J147" i="29"/>
  <c r="K146" i="29"/>
  <c r="J146" i="29"/>
  <c r="K145" i="29"/>
  <c r="J145" i="29"/>
  <c r="K144" i="29"/>
  <c r="J144" i="29"/>
  <c r="K143" i="29"/>
  <c r="J143" i="29"/>
  <c r="K142" i="29"/>
  <c r="J142" i="29"/>
  <c r="K141" i="29"/>
  <c r="J141" i="29"/>
  <c r="K140" i="29"/>
  <c r="J140" i="29"/>
  <c r="K139" i="29"/>
  <c r="J139" i="29"/>
  <c r="K138" i="29"/>
  <c r="J138" i="29"/>
  <c r="K137" i="29"/>
  <c r="J137" i="29"/>
  <c r="K136" i="29"/>
  <c r="J136" i="29"/>
  <c r="K135" i="29"/>
  <c r="J135" i="29"/>
  <c r="K134" i="29"/>
  <c r="J134" i="29"/>
  <c r="I133" i="29"/>
  <c r="H133" i="29"/>
  <c r="K131" i="29"/>
  <c r="J131" i="29"/>
  <c r="K130" i="29"/>
  <c r="J130" i="29"/>
  <c r="K129" i="29"/>
  <c r="J129" i="29"/>
  <c r="K128" i="29"/>
  <c r="J128" i="29"/>
  <c r="K127" i="29"/>
  <c r="J127" i="29"/>
  <c r="K126" i="29"/>
  <c r="J126" i="29"/>
  <c r="K125" i="29"/>
  <c r="J125" i="29"/>
  <c r="K124" i="29"/>
  <c r="J124" i="29"/>
  <c r="K123" i="29"/>
  <c r="J123" i="29"/>
  <c r="K122" i="29"/>
  <c r="J122" i="29"/>
  <c r="K121" i="29"/>
  <c r="J121" i="29"/>
  <c r="K120" i="29"/>
  <c r="J120" i="29"/>
  <c r="K119" i="29"/>
  <c r="J119" i="29"/>
  <c r="K118" i="29"/>
  <c r="J118" i="29"/>
  <c r="I117" i="29"/>
  <c r="H117" i="29"/>
  <c r="K115" i="29"/>
  <c r="J115" i="29"/>
  <c r="K114" i="29"/>
  <c r="J114" i="29"/>
  <c r="K113" i="29"/>
  <c r="J113" i="29"/>
  <c r="K112" i="29"/>
  <c r="J112" i="29"/>
  <c r="K111" i="29"/>
  <c r="J111" i="29"/>
  <c r="K110" i="29"/>
  <c r="J110" i="29"/>
  <c r="K109" i="29"/>
  <c r="J109" i="29"/>
  <c r="K108" i="29"/>
  <c r="J108" i="29"/>
  <c r="K107" i="29"/>
  <c r="J107" i="29"/>
  <c r="K106" i="29"/>
  <c r="J106" i="29"/>
  <c r="K105" i="29"/>
  <c r="J105" i="29"/>
  <c r="K104" i="29"/>
  <c r="J104" i="29"/>
  <c r="K103" i="29"/>
  <c r="J103" i="29"/>
  <c r="K102" i="29"/>
  <c r="J102" i="29"/>
  <c r="K101" i="29"/>
  <c r="J101" i="29"/>
  <c r="K100" i="29"/>
  <c r="J100" i="29"/>
  <c r="K99" i="29"/>
  <c r="J99" i="29"/>
  <c r="K98" i="29"/>
  <c r="J98" i="29"/>
  <c r="K97" i="29"/>
  <c r="J97" i="29"/>
  <c r="K96" i="29"/>
  <c r="J96" i="29"/>
  <c r="K95" i="29"/>
  <c r="J95" i="29"/>
  <c r="K94" i="29"/>
  <c r="J94" i="29"/>
  <c r="K93" i="29"/>
  <c r="J93" i="29"/>
  <c r="K92" i="29"/>
  <c r="J92" i="29"/>
  <c r="K91" i="29"/>
  <c r="J91" i="29"/>
  <c r="K90" i="29"/>
  <c r="J90" i="29"/>
  <c r="K89" i="29"/>
  <c r="J89" i="29"/>
  <c r="K88" i="29"/>
  <c r="J88" i="29"/>
  <c r="K87" i="29"/>
  <c r="J87" i="29"/>
  <c r="K86" i="29"/>
  <c r="J86" i="29"/>
  <c r="K85" i="29"/>
  <c r="J85" i="29"/>
  <c r="K84" i="29"/>
  <c r="J84" i="29"/>
  <c r="K83" i="29"/>
  <c r="J83" i="29"/>
  <c r="K82" i="29"/>
  <c r="J82" i="29"/>
  <c r="K81" i="29"/>
  <c r="J81" i="29"/>
  <c r="K80" i="29"/>
  <c r="J80" i="29"/>
  <c r="K79" i="29"/>
  <c r="J79" i="29"/>
  <c r="K78" i="29"/>
  <c r="J78" i="29"/>
  <c r="K77" i="29"/>
  <c r="J77" i="29"/>
  <c r="K76" i="29"/>
  <c r="J76" i="29"/>
  <c r="K75" i="29"/>
  <c r="J75" i="29"/>
  <c r="K74" i="29"/>
  <c r="J74" i="29"/>
  <c r="K73" i="29"/>
  <c r="J73" i="29"/>
  <c r="K72" i="29"/>
  <c r="J72" i="29"/>
  <c r="K71" i="29"/>
  <c r="J71" i="29"/>
  <c r="K70" i="29"/>
  <c r="J70" i="29"/>
  <c r="K69" i="29"/>
  <c r="J69" i="29"/>
  <c r="K68" i="29"/>
  <c r="J68" i="29"/>
  <c r="K67" i="29"/>
  <c r="J67" i="29"/>
  <c r="K66" i="29"/>
  <c r="J66" i="29"/>
  <c r="I65" i="29"/>
  <c r="H65" i="29"/>
  <c r="K63" i="29"/>
  <c r="J63" i="29"/>
  <c r="K62" i="29"/>
  <c r="J62" i="29"/>
  <c r="K61" i="29"/>
  <c r="J61" i="29"/>
  <c r="K60" i="29"/>
  <c r="J60" i="29"/>
  <c r="K59" i="29"/>
  <c r="J59" i="29"/>
  <c r="K58" i="29"/>
  <c r="J58" i="29"/>
  <c r="K57" i="29"/>
  <c r="J57" i="29"/>
  <c r="K56" i="29"/>
  <c r="J56" i="29"/>
  <c r="K55" i="29"/>
  <c r="J55" i="29"/>
  <c r="K54" i="29"/>
  <c r="J54" i="29"/>
  <c r="K53" i="29"/>
  <c r="J53" i="29"/>
  <c r="K52" i="29"/>
  <c r="J52" i="29"/>
  <c r="K51" i="29"/>
  <c r="J51" i="29"/>
  <c r="K50" i="29"/>
  <c r="J50" i="29"/>
  <c r="K49" i="29"/>
  <c r="J49" i="29"/>
  <c r="K48" i="29"/>
  <c r="J48" i="29"/>
  <c r="K47" i="29"/>
  <c r="J47" i="29"/>
  <c r="K46" i="29"/>
  <c r="J46" i="29"/>
  <c r="K45" i="29"/>
  <c r="J45" i="29"/>
  <c r="K44" i="29"/>
  <c r="J44" i="29"/>
  <c r="K43" i="29"/>
  <c r="J43" i="29"/>
  <c r="K42" i="29"/>
  <c r="J42" i="29"/>
  <c r="K41" i="29"/>
  <c r="J41" i="29"/>
  <c r="K40" i="29"/>
  <c r="J40" i="29"/>
  <c r="K39" i="29"/>
  <c r="J39" i="29"/>
  <c r="K38" i="29"/>
  <c r="J38" i="29"/>
  <c r="K37" i="29"/>
  <c r="J37" i="29"/>
  <c r="K36" i="29"/>
  <c r="J36" i="29"/>
  <c r="K35" i="29"/>
  <c r="J35" i="29"/>
  <c r="K34" i="29"/>
  <c r="J34" i="29"/>
  <c r="K33" i="29"/>
  <c r="J33" i="29"/>
  <c r="K32" i="29"/>
  <c r="J32" i="29"/>
  <c r="K31" i="29"/>
  <c r="J31" i="29"/>
  <c r="K30" i="29"/>
  <c r="J30" i="29"/>
  <c r="I28" i="29"/>
  <c r="J28" i="29" s="1"/>
  <c r="H28" i="29"/>
  <c r="I27" i="29"/>
  <c r="J27" i="29" s="1"/>
  <c r="H27" i="29"/>
  <c r="I26" i="29"/>
  <c r="J26" i="29" s="1"/>
  <c r="H26" i="29"/>
  <c r="K25" i="29"/>
  <c r="J25" i="29"/>
  <c r="K24" i="29"/>
  <c r="J24" i="29"/>
  <c r="K23" i="29"/>
  <c r="J23" i="29"/>
  <c r="K22" i="29"/>
  <c r="J22" i="29"/>
  <c r="K21" i="29"/>
  <c r="J21" i="29"/>
  <c r="K20" i="29"/>
  <c r="J20" i="29"/>
  <c r="K19" i="29"/>
  <c r="J19" i="29"/>
  <c r="K18" i="29"/>
  <c r="J18" i="29"/>
  <c r="K17" i="29"/>
  <c r="J17" i="29"/>
  <c r="K14" i="29"/>
  <c r="J14" i="29"/>
  <c r="K13" i="29"/>
  <c r="J13" i="29"/>
  <c r="K12" i="29"/>
  <c r="K10" i="29" s="1"/>
  <c r="J12" i="29"/>
  <c r="J10" i="29" s="1"/>
  <c r="J11" i="29"/>
  <c r="G11" i="29"/>
  <c r="G208" i="29" s="1"/>
  <c r="E11" i="29"/>
  <c r="I10" i="29"/>
  <c r="I8" i="29"/>
  <c r="I4" i="29" s="1"/>
  <c r="K7" i="29"/>
  <c r="J7" i="29"/>
  <c r="K6" i="29"/>
  <c r="J6" i="29"/>
  <c r="K5" i="29"/>
  <c r="J5" i="29"/>
  <c r="K26" i="29" l="1"/>
  <c r="K27" i="29"/>
  <c r="K28" i="29"/>
  <c r="K133" i="29"/>
  <c r="J133" i="29"/>
  <c r="J117" i="29"/>
  <c r="I16" i="29"/>
  <c r="I208" i="29" s="1"/>
  <c r="H16" i="29"/>
  <c r="H208" i="29" s="1"/>
  <c r="J65" i="29"/>
  <c r="K65" i="29"/>
  <c r="J16" i="29"/>
  <c r="K16" i="29"/>
  <c r="K117" i="29"/>
  <c r="K11" i="29"/>
  <c r="J8" i="29"/>
  <c r="J4" i="29" s="1"/>
  <c r="J208" i="29" s="1"/>
  <c r="K8" i="29"/>
  <c r="K4" i="29" s="1"/>
  <c r="K208" i="29" l="1"/>
</calcChain>
</file>

<file path=xl/sharedStrings.xml><?xml version="1.0" encoding="utf-8"?>
<sst xmlns="http://schemas.openxmlformats.org/spreadsheetml/2006/main" count="296" uniqueCount="227">
  <si>
    <t>Montant</t>
  </si>
  <si>
    <t>Clients</t>
  </si>
  <si>
    <t>Articles</t>
  </si>
  <si>
    <t>Date</t>
  </si>
  <si>
    <t>Qté</t>
  </si>
  <si>
    <t>Prix</t>
  </si>
  <si>
    <t>N°Véhicule</t>
  </si>
  <si>
    <t>Chauffeur</t>
  </si>
  <si>
    <t>N°Pieces</t>
  </si>
  <si>
    <t>Dépots</t>
  </si>
  <si>
    <t>Enrégistré</t>
  </si>
  <si>
    <t>Modifier</t>
  </si>
  <si>
    <t>Ciments</t>
  </si>
  <si>
    <t>Fer</t>
  </si>
  <si>
    <t>12E2301</t>
  </si>
  <si>
    <t>OUEDRAOGO ISSA</t>
  </si>
  <si>
    <t>ZAGTOULY</t>
  </si>
  <si>
    <t>Client</t>
  </si>
  <si>
    <t>Mr SANKARA</t>
  </si>
  <si>
    <t>Bon</t>
  </si>
  <si>
    <t>Motif</t>
  </si>
  <si>
    <t>Depot Arrivé</t>
  </si>
  <si>
    <t>Depot Départ</t>
  </si>
  <si>
    <t>Qté Total</t>
  </si>
  <si>
    <t>Depot 1</t>
  </si>
  <si>
    <t>Depot 2</t>
  </si>
  <si>
    <t>Depot 3</t>
  </si>
  <si>
    <t>Banque</t>
  </si>
  <si>
    <t>BOA</t>
  </si>
  <si>
    <t>MOUMAROU</t>
  </si>
  <si>
    <t>N°Facture</t>
  </si>
  <si>
    <t>Fournisseurs /Libellés</t>
  </si>
  <si>
    <t>Transporteur</t>
  </si>
  <si>
    <t xml:space="preserve">TABLEAU  DES IMMOBILISATIONS ET DES AMORTISSEMENTS </t>
  </si>
  <si>
    <t>NUMERO DE COMPTE</t>
  </si>
  <si>
    <t>DESIGNATION DES IMMOBILISATIONS</t>
  </si>
  <si>
    <t>TAUX
AMORT. %</t>
  </si>
  <si>
    <t>DATE MISE SERVICE</t>
  </si>
  <si>
    <t>VALEUR
D'ACQUISITION</t>
  </si>
  <si>
    <t>AMORTISSEMENTS</t>
  </si>
  <si>
    <t>VALEUR
RESIDUELLE</t>
  </si>
  <si>
    <t>Valeurs nette</t>
  </si>
  <si>
    <t>ANTERIEURS</t>
  </si>
  <si>
    <t>DE L'EXERCICE</t>
  </si>
  <si>
    <t>TOTAL</t>
  </si>
  <si>
    <t>CONSTRUCTION</t>
  </si>
  <si>
    <t>GUERITE</t>
  </si>
  <si>
    <t>FORAGES</t>
  </si>
  <si>
    <t>CONSTRUCTION MARGELLE</t>
  </si>
  <si>
    <t>FORAGE PIECE DE RECHANGE</t>
  </si>
  <si>
    <t>COMPTE GENERALE CONSTRUCTION ET BATIMENTS</t>
  </si>
  <si>
    <t>LOGICIELS</t>
  </si>
  <si>
    <t>LOGICIEL SAGE COMPTA V15</t>
  </si>
  <si>
    <t>LOGICIEL SAGE PACK  i7</t>
  </si>
  <si>
    <t>LOGICIEL SAGE PAIE ET GRH i7</t>
  </si>
  <si>
    <t>LOGICIEL SAGE EDITION PILOTE COMPTA</t>
  </si>
  <si>
    <t>COMPTE GENERALE LOGICIELS</t>
  </si>
  <si>
    <t>MATERIELS ET OUTILLAGE INDUSTRIELS</t>
  </si>
  <si>
    <t>BUL CAT D8T-2011</t>
  </si>
  <si>
    <t>CHARGEUR VOLVO L330VIN L330EV62347-2006</t>
  </si>
  <si>
    <t>CHARGEUR VOLVO L330VIN L330EV62347-2005</t>
  </si>
  <si>
    <t>CHARGEUR VOLVO L330VIN L330EV62347-2007</t>
  </si>
  <si>
    <t>MAT ROULEAU-CHARGEURCAT 980G</t>
  </si>
  <si>
    <t>GENERATRICE 1500 KVA</t>
  </si>
  <si>
    <t>GENERATRICE 600 KVA</t>
  </si>
  <si>
    <t>PELLE KOMATSU PC300-20</t>
  </si>
  <si>
    <t>GENERATRICE 30KVA</t>
  </si>
  <si>
    <t>GENERATRICE KUBOTA SQ1210</t>
  </si>
  <si>
    <t>GENERATRICE CATERPLLAR</t>
  </si>
  <si>
    <t>GENERATRICE MTU</t>
  </si>
  <si>
    <t>CAMION VOLVO A40D</t>
  </si>
  <si>
    <t>BALANCE 100T-2016</t>
  </si>
  <si>
    <t>TRAILERS STC  COVOYEURS N01</t>
  </si>
  <si>
    <t>TRAILERS STC  COVOYEURS N02</t>
  </si>
  <si>
    <t>TRAILERS STC  COVOYEURS N03</t>
  </si>
  <si>
    <t>TRAILERS STC  COVOYEURS N04</t>
  </si>
  <si>
    <t>TRAILERS STC  COVOYEURS N05</t>
  </si>
  <si>
    <t>TRAILERS STC  COVOYEURS N06</t>
  </si>
  <si>
    <t>TRAILERS STC  COVOYEURS N07</t>
  </si>
  <si>
    <t>TRAILERS STC  COVOYEURS N08</t>
  </si>
  <si>
    <t>CEC ROADRUNNER CRUSHER VIN TRX 380CSPOKA1108-2010</t>
  </si>
  <si>
    <t>EXTRACTOR JCI VIN P141765-2014</t>
  </si>
  <si>
    <t>PONT BASCULE</t>
  </si>
  <si>
    <t>FACT 31/02/17/EDPF</t>
  </si>
  <si>
    <t>RESERVOIR EMILIANA SERB</t>
  </si>
  <si>
    <t>TRACTEUR AGRO</t>
  </si>
  <si>
    <t>MAT INDUSTRIEL GE 6KVA</t>
  </si>
  <si>
    <t>MOTEEUR ELECTRIC ROYAUME MOTEUR</t>
  </si>
  <si>
    <t>MOTEUR ELECTRIQUE 150KW 900T/MN</t>
  </si>
  <si>
    <t>MOTEUR ELECTRIQUE F25</t>
  </si>
  <si>
    <t>POMPE A GRAISSE PNEU MAT</t>
  </si>
  <si>
    <t>MOTO POMPE</t>
  </si>
  <si>
    <t>COMPRESSEUR POWER LINE 400V</t>
  </si>
  <si>
    <t>CRACHERE 2 ROUE</t>
  </si>
  <si>
    <t>NETOYEUR HAUTES PRESSION</t>
  </si>
  <si>
    <t>FOREUR SANDVIK DRILL DX700</t>
  </si>
  <si>
    <t>PC DE SUPPRESSEURHORIZ 60L</t>
  </si>
  <si>
    <t>CONCASSEUR A MACHOIRES 4230</t>
  </si>
  <si>
    <t>CONTAINER 40P 420-001</t>
  </si>
  <si>
    <t>CONTAINER 40P420-002</t>
  </si>
  <si>
    <t>CONTAINER 40P420-003</t>
  </si>
  <si>
    <t>CONTAINER 40P420-004</t>
  </si>
  <si>
    <t>CONTAINER 40P420-005</t>
  </si>
  <si>
    <t>CONTAINER 40P420-006</t>
  </si>
  <si>
    <t>CONTAINER 40P420-007</t>
  </si>
  <si>
    <t>COMPTE GENERAL MATERIELS ET OUTILLAGE</t>
  </si>
  <si>
    <t>MATERIEL ET MOBILIER DE BUREAU</t>
  </si>
  <si>
    <t>BUREAU EN BOIS 3 TIROIRS ET CAISSE CSS1</t>
  </si>
  <si>
    <t>CHAISES VISITEUR NCPT 1</t>
  </si>
  <si>
    <t>CHAISES VISITEUR NCPT 2</t>
  </si>
  <si>
    <t>ARMOIRE METALIQUE NCPT 1</t>
  </si>
  <si>
    <t xml:space="preserve">BUREAU EN BOIS 3 TIROIRS ET CAISSE </t>
  </si>
  <si>
    <t>FAUTEUILLE PIVOTAN CSS2</t>
  </si>
  <si>
    <t>ARMOIRE 2 BATTAN CSS1</t>
  </si>
  <si>
    <t>CHAISSE VISITEUR NCS1</t>
  </si>
  <si>
    <t>CHAISSE VISITEUR NCS2</t>
  </si>
  <si>
    <t>FAUTEUILLLE PIVOTAN CSS2</t>
  </si>
  <si>
    <t>COFFRE FORT COMPTABILITE</t>
  </si>
  <si>
    <t>MEUBLE DE MAISON</t>
  </si>
  <si>
    <t>TABLE MECANIQUE</t>
  </si>
  <si>
    <t>TABLE DE REUNION</t>
  </si>
  <si>
    <t>FONTAINE D EAU</t>
  </si>
  <si>
    <t>REFRIGERATEUR</t>
  </si>
  <si>
    <t>COFFRE FORT 140KG</t>
  </si>
  <si>
    <t>BUREAU DIRECTEUR</t>
  </si>
  <si>
    <t>TABLE BUREAU DIRECTEUR</t>
  </si>
  <si>
    <t>BIBLIOTHEQUE SEMI VITRE</t>
  </si>
  <si>
    <t>FAUTEUIL DIRECTEUR</t>
  </si>
  <si>
    <t>CHAISES VISITEURS NCPT3</t>
  </si>
  <si>
    <t>CHAISES VISITEUR NCPT4</t>
  </si>
  <si>
    <t>CHAISES VISITEUR NCPT5</t>
  </si>
  <si>
    <t>CHAISES VISITEUR NCPT6</t>
  </si>
  <si>
    <t>CHAISES VISITEUR NCPT7</t>
  </si>
  <si>
    <t>CHAISES VISITEUR NCPT8</t>
  </si>
  <si>
    <t>CHAISES VISITEUR NCPT9</t>
  </si>
  <si>
    <t>CHAISES VISITEUR NCPT10</t>
  </si>
  <si>
    <t>CHAISES VISITEUR NCPT11</t>
  </si>
  <si>
    <t>CHAISES VISITEUR NCPT12</t>
  </si>
  <si>
    <t>FAUTEUIL DIRECTEUR CLR NOIR/GRIS</t>
  </si>
  <si>
    <t>BUREAU 140X60X75 CLR GOLDEN DIAMOND/GREY</t>
  </si>
  <si>
    <t>ARMOIRE DE BUREAU 120X40X120XCLR GOLDEN DIAMOND</t>
  </si>
  <si>
    <t>FAUTEUIL A BASCULE 1 PLAC EN BOIS/FER+ACCOUDOIR</t>
  </si>
  <si>
    <t>ARMOIRE DE BUREAU EN BOIS</t>
  </si>
  <si>
    <t>BUREAU EN BOIS LUXE 18</t>
  </si>
  <si>
    <t>BUREAU + RETOUR EN BOIS</t>
  </si>
  <si>
    <t>BUREAU DE RECEPTION O</t>
  </si>
  <si>
    <t>FAUTEUIL DIRECTEUR CLR</t>
  </si>
  <si>
    <t>CHAISE VISITEUR PU CLR</t>
  </si>
  <si>
    <t xml:space="preserve"> COMPTE GENERAL MATERIELS ET MOBILIER DE BUREAU</t>
  </si>
  <si>
    <t>AGENCEMENT ET AMMENAGEMENT DU MATERIELS</t>
  </si>
  <si>
    <t>CLOISON AVEC GUICHET</t>
  </si>
  <si>
    <t>MODEM ROOTER CISCO ADSL</t>
  </si>
  <si>
    <t>MODEM ROOTER CISCO</t>
  </si>
  <si>
    <t>CLIMATISSEUR MURAL</t>
  </si>
  <si>
    <t>CLIMATISSEUR SPLIT</t>
  </si>
  <si>
    <t>PANNEAU LUMINEUX COMMUNICATION</t>
  </si>
  <si>
    <t>CONFECTION MONTAGE PANNEAU LUMINEUX</t>
  </si>
  <si>
    <t>INSTALLATION CLIMATEUR</t>
  </si>
  <si>
    <t>INSTALLATION HUMIDIFICATEUR</t>
  </si>
  <si>
    <t>INSTALLATION DE CLIMENTISSEUR UNIONNAIRE</t>
  </si>
  <si>
    <t>CLIMATISSEUR INVESTER LG 1,5CV</t>
  </si>
  <si>
    <t>CLIMATISSEUR INVESTER LG 1 CV</t>
  </si>
  <si>
    <t>ETAGERE CLOISONNEMENT</t>
  </si>
  <si>
    <t>COMPTE GENERAL AMENAGEMET ET AGENCEMENT</t>
  </si>
  <si>
    <t>MATERIEL INFORMATIQUE</t>
  </si>
  <si>
    <t>ORDINATEUR PORTABLE LENOVO</t>
  </si>
  <si>
    <t>ORDINATEUR KYTON 1500 VA</t>
  </si>
  <si>
    <t>IMPRIMENTE EPSON LQ 350</t>
  </si>
  <si>
    <t>IMPRIMENTE HP LASER JET M125 NW</t>
  </si>
  <si>
    <t>IMPRIMENTE NOIR BLANC HP 125A</t>
  </si>
  <si>
    <t xml:space="preserve">ORDINATEUR BUREAU HP i5 </t>
  </si>
  <si>
    <t>IMPRIMENTE DE COULEUR HP 2545</t>
  </si>
  <si>
    <t>MACHINE A BILLET NANXING NX-820B</t>
  </si>
  <si>
    <t>ORDINATEUR PORTABLE PONT BASCULE</t>
  </si>
  <si>
    <t>ORDINATEUR POTABLE HP ITEL i3</t>
  </si>
  <si>
    <t>AUTOCOM PANASONIC 3 +8</t>
  </si>
  <si>
    <t>ORDINATEUR.IMPRIMENT ONDULIAIRE</t>
  </si>
  <si>
    <t>ORDINATEUR BUREAU HP INTEL PENTIUM 20POUS</t>
  </si>
  <si>
    <t>SERVEUR CREATOR</t>
  </si>
  <si>
    <t>IMPRIMENT EPSON LQ350</t>
  </si>
  <si>
    <t>PHOTOCOPIE IMPRIMENTE CANON 3010</t>
  </si>
  <si>
    <t>PHOTOCOPIE IMPRIMENTE CANON 410</t>
  </si>
  <si>
    <t>IMPRIMANTE LASER M177FW</t>
  </si>
  <si>
    <t>ORDINATEUR HP ALL IN ONE CARE i3</t>
  </si>
  <si>
    <t>ORDINATEUR</t>
  </si>
  <si>
    <t>IMPRIMANTE CANON MULTIFONCTION IR 3125</t>
  </si>
  <si>
    <t>IMPRIMENTE HP 477 LASER JET</t>
  </si>
  <si>
    <t>COMPTE GENERAL MATERIELS INFORMATIQUE</t>
  </si>
  <si>
    <t>COMPTE GENERAL MATERIEL ET MOBILIER</t>
  </si>
  <si>
    <t>MATERIEL DE TRANSPORTS</t>
  </si>
  <si>
    <t>PICK UP F350-2008</t>
  </si>
  <si>
    <t>PICK UP F250-2013</t>
  </si>
  <si>
    <t>PICK UP FORD F450-1999</t>
  </si>
  <si>
    <t>JEEP CHEROKEE 2246</t>
  </si>
  <si>
    <t>CAMION CITERNE DE 18000L KENWORTH-199</t>
  </si>
  <si>
    <t>ANTOCAR VOLVO TRACREUR ROUTIER</t>
  </si>
  <si>
    <t>TRAILBE FB650/PORT CHAR AU FARDIER</t>
  </si>
  <si>
    <t>MOTO SIRUS NANO CUISINIERE OUAGA</t>
  </si>
  <si>
    <t>EMILIANA SERB 20</t>
  </si>
  <si>
    <t>CITERNE D EAU TRACTEUR</t>
  </si>
  <si>
    <t>MOTO SIRUS YAMAHA 1</t>
  </si>
  <si>
    <t>MOTO SIRUS YAMAHA 2</t>
  </si>
  <si>
    <t>VEHICULE FORD/058</t>
  </si>
  <si>
    <t>CHARGEUR CAT MODELE 980 H C15 ACERT</t>
  </si>
  <si>
    <t>VEHICULE TOYOTA HILUX 4X4</t>
  </si>
  <si>
    <t>A1175 D6 03 BF</t>
  </si>
  <si>
    <t>VEHICULE MITSUBISHI 2007 N°98069</t>
  </si>
  <si>
    <t>PELLE VOLVO EC480DL</t>
  </si>
  <si>
    <t>NIVELEUSE VOLVO G730B</t>
  </si>
  <si>
    <t>VOVO DUMPER A40DV12961</t>
  </si>
  <si>
    <t>VOLVO A440 N°A40DV12949</t>
  </si>
  <si>
    <t>MATERIEL DE CONSTRUCTION EN COURS</t>
  </si>
  <si>
    <t>BATIMENT ET INSTALLATION EN COURS</t>
  </si>
  <si>
    <t>CLOTURE DE GRILLAGE EN COURS</t>
  </si>
  <si>
    <t>POTAUX DU GARAGE</t>
  </si>
  <si>
    <t>MATERIAUX DE CONSTRUCTION</t>
  </si>
  <si>
    <t>ETUDE POUR LE LEVER TOPOGRAPHIQUE</t>
  </si>
  <si>
    <t>CUISINE</t>
  </si>
  <si>
    <t>LOGEMENTS DES PATRONS</t>
  </si>
  <si>
    <t>LOGEMENTS PERSONNELS</t>
  </si>
  <si>
    <t>CONSTRUCTIONS TANK A FUEL</t>
  </si>
  <si>
    <t>DALLAGE GARAGE</t>
  </si>
  <si>
    <t>INSTALLATION ELECTRIQUE</t>
  </si>
  <si>
    <t>COMPTE GENERAL MATERIEL DE CONSTRUCTION EN COURS</t>
  </si>
  <si>
    <t>TYPE</t>
  </si>
  <si>
    <t>EMPLACEMENT</t>
  </si>
  <si>
    <t>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</si>
</sst>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\ _€_-;\-* #,##0\ _€_-;_-* &quot;-&quot;??\ _€_-;_-@_-"/>
  </numFmts>
  <fonts count="2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B050"/>
      <name val="Arial Black"/>
      <family val="2"/>
    </font>
    <font>
      <b/>
      <sz val="12"/>
      <color theme="0"/>
      <name val="Arial Black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i/>
      <sz val="8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sz val="9"/>
      <color theme="1"/>
      <name val="Arial"/>
      <family val="2"/>
    </font>
    <font>
      <b/>
      <i/>
      <sz val="10"/>
      <color theme="1"/>
      <name val="Times New Roman"/>
      <family val="1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Times New Roman"/>
      <family val="1"/>
    </font>
    <font>
      <b/>
      <sz val="8"/>
      <color theme="1"/>
      <name val="Arial"/>
      <family val="2"/>
    </font>
    <font>
      <sz val="9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2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</cellStyleXfs>
  <cellXfs count="234">
    <xf numFmtId="0" fontId="0" fillId="0" borderId="0" xfId="0"/>
    <xf numFmtId="0" fontId="0" fillId="0" borderId="0" xfId="0" applyAlignment="1">
      <alignment horizontal="center"/>
    </xf>
    <xf numFmtId="41" fontId="0" fillId="0" borderId="0" xfId="1" applyFont="1" applyAlignment="1">
      <alignment horizontal="center"/>
    </xf>
    <xf numFmtId="0" fontId="0" fillId="0" borderId="3" xfId="0" applyBorder="1"/>
    <xf numFmtId="0" fontId="3" fillId="2" borderId="1" xfId="0" applyFont="1" applyFill="1" applyBorder="1"/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1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41" fontId="0" fillId="0" borderId="0" xfId="1" applyFont="1"/>
    <xf numFmtId="164" fontId="8" fillId="0" borderId="0" xfId="2" applyNumberFormat="1" applyFont="1" applyBorder="1" applyAlignment="1">
      <alignment horizontal="center" vertical="center"/>
    </xf>
    <xf numFmtId="0" fontId="9" fillId="3" borderId="7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center" vertical="center" wrapText="1"/>
    </xf>
    <xf numFmtId="0" fontId="3" fillId="0" borderId="11" xfId="6" applyFont="1" applyFill="1" applyBorder="1" applyAlignment="1" applyProtection="1">
      <alignment horizontal="left" vertical="center"/>
      <protection locked="0"/>
    </xf>
    <xf numFmtId="0" fontId="3" fillId="0" borderId="12" xfId="6" applyFont="1" applyFill="1" applyBorder="1" applyAlignment="1" applyProtection="1">
      <alignment horizontal="left" vertical="center"/>
      <protection locked="0"/>
    </xf>
    <xf numFmtId="0" fontId="3" fillId="0" borderId="13" xfId="6" applyFont="1" applyFill="1" applyBorder="1" applyAlignment="1" applyProtection="1">
      <alignment horizontal="left" vertical="center"/>
      <protection locked="0"/>
    </xf>
    <xf numFmtId="0" fontId="3" fillId="0" borderId="14" xfId="6" applyFont="1" applyFill="1" applyBorder="1" applyAlignment="1" applyProtection="1">
      <alignment horizontal="left" vertical="center"/>
      <protection locked="0"/>
    </xf>
    <xf numFmtId="9" fontId="3" fillId="0" borderId="11" xfId="6" applyNumberFormat="1" applyFont="1" applyFill="1" applyBorder="1" applyAlignment="1" applyProtection="1">
      <alignment horizontal="center" vertical="center"/>
      <protection locked="0"/>
    </xf>
    <xf numFmtId="14" fontId="3" fillId="0" borderId="11" xfId="6" applyNumberFormat="1" applyFont="1" applyFill="1" applyBorder="1" applyAlignment="1" applyProtection="1">
      <alignment horizontal="center" vertical="center"/>
      <protection locked="0"/>
    </xf>
    <xf numFmtId="164" fontId="3" fillId="0" borderId="11" xfId="2" applyNumberFormat="1" applyFont="1" applyFill="1" applyBorder="1" applyAlignment="1" applyProtection="1">
      <alignment vertical="center"/>
      <protection locked="0"/>
    </xf>
    <xf numFmtId="3" fontId="3" fillId="0" borderId="11" xfId="6" applyNumberFormat="1" applyFont="1" applyFill="1" applyBorder="1" applyAlignment="1" applyProtection="1">
      <alignment vertical="center"/>
      <protection locked="0"/>
    </xf>
    <xf numFmtId="3" fontId="3" fillId="0" borderId="11" xfId="6" applyNumberFormat="1" applyFont="1" applyFill="1" applyBorder="1" applyAlignment="1">
      <alignment horizontal="center" vertical="center"/>
    </xf>
    <xf numFmtId="164" fontId="3" fillId="0" borderId="11" xfId="2" applyNumberFormat="1" applyFont="1" applyFill="1" applyBorder="1" applyAlignment="1">
      <alignment horizontal="center" vertical="center"/>
    </xf>
    <xf numFmtId="0" fontId="2" fillId="0" borderId="15" xfId="7" applyFont="1" applyFill="1" applyBorder="1" applyAlignment="1" applyProtection="1">
      <alignment horizontal="left" vertical="center"/>
      <protection locked="0"/>
    </xf>
    <xf numFmtId="0" fontId="2" fillId="0" borderId="16" xfId="7" applyFont="1" applyFill="1" applyBorder="1" applyAlignment="1" applyProtection="1">
      <alignment horizontal="left" vertical="center"/>
      <protection locked="0"/>
    </xf>
    <xf numFmtId="0" fontId="2" fillId="0" borderId="17" xfId="7" applyFont="1" applyFill="1" applyBorder="1" applyAlignment="1" applyProtection="1">
      <alignment horizontal="left" vertical="center"/>
      <protection locked="0"/>
    </xf>
    <xf numFmtId="0" fontId="2" fillId="0" borderId="18" xfId="7" applyFont="1" applyFill="1" applyBorder="1" applyAlignment="1" applyProtection="1">
      <alignment horizontal="left" vertical="center"/>
      <protection locked="0"/>
    </xf>
    <xf numFmtId="9" fontId="2" fillId="0" borderId="15" xfId="7" applyNumberFormat="1" applyFont="1" applyFill="1" applyBorder="1" applyAlignment="1" applyProtection="1">
      <alignment horizontal="center" vertical="center"/>
      <protection locked="0"/>
    </xf>
    <xf numFmtId="14" fontId="2" fillId="0" borderId="15" xfId="7" applyNumberFormat="1" applyFont="1" applyFill="1" applyBorder="1" applyAlignment="1" applyProtection="1">
      <alignment horizontal="center" vertical="center"/>
      <protection locked="0"/>
    </xf>
    <xf numFmtId="164" fontId="2" fillId="0" borderId="15" xfId="2" applyNumberFormat="1" applyFont="1" applyFill="1" applyBorder="1" applyAlignment="1" applyProtection="1">
      <alignment vertical="center"/>
      <protection locked="0"/>
    </xf>
    <xf numFmtId="3" fontId="2" fillId="0" borderId="15" xfId="7" applyNumberFormat="1" applyFont="1" applyFill="1" applyBorder="1" applyAlignment="1" applyProtection="1">
      <alignment vertical="center"/>
      <protection locked="0"/>
    </xf>
    <xf numFmtId="3" fontId="2" fillId="0" borderId="15" xfId="7" applyNumberFormat="1" applyFont="1" applyFill="1" applyBorder="1" applyAlignment="1" applyProtection="1">
      <alignment horizontal="center" vertical="center"/>
      <protection locked="0"/>
    </xf>
    <xf numFmtId="3" fontId="2" fillId="0" borderId="15" xfId="7" applyNumberFormat="1" applyFont="1" applyFill="1" applyBorder="1" applyAlignment="1">
      <alignment horizontal="center" vertical="center"/>
    </xf>
    <xf numFmtId="164" fontId="2" fillId="0" borderId="15" xfId="2" applyNumberFormat="1" applyFont="1" applyFill="1" applyBorder="1" applyAlignment="1" applyProtection="1">
      <alignment horizontal="center" vertical="center"/>
      <protection locked="0"/>
    </xf>
    <xf numFmtId="0" fontId="2" fillId="0" borderId="15" xfId="8" applyFont="1" applyFill="1" applyBorder="1" applyAlignment="1" applyProtection="1">
      <alignment horizontal="left" vertical="center"/>
      <protection locked="0"/>
    </xf>
    <xf numFmtId="0" fontId="12" fillId="0" borderId="11" xfId="0" applyFont="1" applyBorder="1" applyAlignment="1" applyProtection="1">
      <alignment horizontal="left" vertical="center"/>
      <protection locked="0"/>
    </xf>
    <xf numFmtId="0" fontId="13" fillId="0" borderId="19" xfId="0" applyFont="1" applyBorder="1" applyAlignment="1" applyProtection="1">
      <alignment horizontal="left"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9" fontId="14" fillId="0" borderId="11" xfId="0" applyNumberFormat="1" applyFont="1" applyBorder="1" applyAlignment="1" applyProtection="1">
      <alignment horizontal="center" vertical="center"/>
      <protection locked="0"/>
    </xf>
    <xf numFmtId="14" fontId="14" fillId="0" borderId="12" xfId="0" applyNumberFormat="1" applyFont="1" applyBorder="1" applyAlignment="1" applyProtection="1">
      <alignment horizontal="center" vertical="center"/>
      <protection locked="0"/>
    </xf>
    <xf numFmtId="164" fontId="14" fillId="0" borderId="13" xfId="2" applyNumberFormat="1" applyFont="1" applyFill="1" applyBorder="1" applyAlignment="1" applyProtection="1">
      <alignment vertical="center"/>
      <protection locked="0"/>
    </xf>
    <xf numFmtId="3" fontId="14" fillId="0" borderId="14" xfId="0" applyNumberFormat="1" applyFont="1" applyBorder="1" applyAlignment="1" applyProtection="1">
      <alignment vertical="center"/>
      <protection locked="0"/>
    </xf>
    <xf numFmtId="3" fontId="14" fillId="0" borderId="12" xfId="0" applyNumberFormat="1" applyFont="1" applyBorder="1" applyAlignment="1" applyProtection="1">
      <alignment horizontal="center" vertical="center"/>
      <protection locked="0"/>
    </xf>
    <xf numFmtId="3" fontId="14" fillId="0" borderId="12" xfId="0" applyNumberFormat="1" applyFont="1" applyBorder="1" applyAlignment="1">
      <alignment horizontal="center" vertical="center"/>
    </xf>
    <xf numFmtId="164" fontId="14" fillId="0" borderId="12" xfId="2" applyNumberFormat="1" applyFont="1" applyFill="1" applyBorder="1" applyAlignment="1" applyProtection="1">
      <alignment horizontal="center" vertical="center"/>
      <protection locked="0"/>
    </xf>
    <xf numFmtId="164" fontId="2" fillId="0" borderId="12" xfId="2" applyNumberFormat="1" applyFont="1" applyFill="1" applyBorder="1" applyAlignment="1" applyProtection="1">
      <alignment horizontal="center" vertical="center"/>
      <protection locked="0"/>
    </xf>
    <xf numFmtId="0" fontId="3" fillId="0" borderId="22" xfId="6" applyFont="1" applyFill="1" applyBorder="1" applyAlignment="1" applyProtection="1">
      <alignment horizontal="left" vertical="center"/>
      <protection locked="0"/>
    </xf>
    <xf numFmtId="0" fontId="3" fillId="0" borderId="23" xfId="6" applyFont="1" applyFill="1" applyBorder="1" applyAlignment="1" applyProtection="1">
      <alignment horizontal="left" vertical="center"/>
      <protection locked="0"/>
    </xf>
    <xf numFmtId="0" fontId="3" fillId="0" borderId="24" xfId="6" applyFont="1" applyFill="1" applyBorder="1" applyAlignment="1" applyProtection="1">
      <alignment horizontal="left" vertical="center"/>
      <protection locked="0"/>
    </xf>
    <xf numFmtId="0" fontId="3" fillId="0" borderId="25" xfId="6" applyFont="1" applyFill="1" applyBorder="1" applyAlignment="1" applyProtection="1">
      <alignment horizontal="left" vertical="center"/>
      <protection locked="0"/>
    </xf>
    <xf numFmtId="0" fontId="3" fillId="0" borderId="22" xfId="6" applyFont="1" applyFill="1" applyBorder="1" applyAlignment="1" applyProtection="1">
      <alignment horizontal="center" vertical="center"/>
      <protection locked="0"/>
    </xf>
    <xf numFmtId="14" fontId="3" fillId="0" borderId="23" xfId="6" applyNumberFormat="1" applyFont="1" applyFill="1" applyBorder="1" applyAlignment="1" applyProtection="1">
      <alignment horizontal="center" vertical="center"/>
      <protection locked="0"/>
    </xf>
    <xf numFmtId="164" fontId="3" fillId="0" borderId="24" xfId="2" applyNumberFormat="1" applyFont="1" applyFill="1" applyBorder="1" applyAlignment="1" applyProtection="1">
      <alignment vertical="center"/>
      <protection locked="0"/>
    </xf>
    <xf numFmtId="0" fontId="3" fillId="0" borderId="25" xfId="6" applyFont="1" applyFill="1" applyBorder="1" applyAlignment="1" applyProtection="1">
      <alignment vertical="center"/>
      <protection locked="0"/>
    </xf>
    <xf numFmtId="3" fontId="3" fillId="0" borderId="23" xfId="6" applyNumberFormat="1" applyFont="1" applyFill="1" applyBorder="1" applyAlignment="1" applyProtection="1">
      <alignment horizontal="center" vertical="center"/>
      <protection locked="0"/>
    </xf>
    <xf numFmtId="164" fontId="3" fillId="0" borderId="23" xfId="2" applyNumberFormat="1" applyFont="1" applyFill="1" applyBorder="1" applyAlignment="1" applyProtection="1">
      <alignment horizontal="center" vertical="center"/>
      <protection locked="0"/>
    </xf>
    <xf numFmtId="164" fontId="3" fillId="0" borderId="12" xfId="2" applyNumberFormat="1" applyFont="1" applyFill="1" applyBorder="1" applyAlignment="1" applyProtection="1">
      <alignment horizontal="center" vertical="center"/>
      <protection locked="0"/>
    </xf>
    <xf numFmtId="10" fontId="2" fillId="0" borderId="15" xfId="7" applyNumberFormat="1" applyFont="1" applyFill="1" applyBorder="1" applyAlignment="1" applyProtection="1">
      <alignment horizontal="center" vertical="center"/>
      <protection locked="0"/>
    </xf>
    <xf numFmtId="0" fontId="12" fillId="0" borderId="15" xfId="0" applyFont="1" applyBorder="1" applyAlignment="1" applyProtection="1">
      <alignment horizontal="left" vertical="center"/>
      <protection locked="0"/>
    </xf>
    <xf numFmtId="0" fontId="2" fillId="0" borderId="15" xfId="7" applyFont="1" applyFill="1" applyBorder="1" applyAlignment="1" applyProtection="1">
      <alignment horizontal="center" vertical="center"/>
      <protection locked="0"/>
    </xf>
    <xf numFmtId="0" fontId="2" fillId="0" borderId="15" xfId="7" applyFont="1" applyFill="1" applyBorder="1" applyAlignment="1" applyProtection="1">
      <alignment vertical="center"/>
      <protection locked="0"/>
    </xf>
    <xf numFmtId="3" fontId="3" fillId="0" borderId="24" xfId="6" applyNumberFormat="1" applyFont="1" applyFill="1" applyBorder="1" applyAlignment="1" applyProtection="1">
      <alignment vertical="center"/>
      <protection locked="0"/>
    </xf>
    <xf numFmtId="3" fontId="3" fillId="0" borderId="24" xfId="6" applyNumberFormat="1" applyFont="1" applyFill="1" applyBorder="1" applyAlignment="1" applyProtection="1">
      <alignment horizontal="center" vertical="center"/>
      <protection locked="0"/>
    </xf>
    <xf numFmtId="164" fontId="3" fillId="0" borderId="24" xfId="2" applyNumberFormat="1" applyFont="1" applyFill="1" applyBorder="1" applyAlignment="1" applyProtection="1">
      <alignment horizontal="center" vertical="center"/>
      <protection locked="0"/>
    </xf>
    <xf numFmtId="164" fontId="3" fillId="0" borderId="13" xfId="2" applyNumberFormat="1" applyFont="1" applyFill="1" applyBorder="1" applyAlignment="1" applyProtection="1">
      <alignment horizontal="center" vertical="center"/>
      <protection locked="0"/>
    </xf>
    <xf numFmtId="0" fontId="2" fillId="0" borderId="15" xfId="5" applyFont="1" applyFill="1" applyBorder="1" applyAlignment="1" applyProtection="1">
      <alignment horizontal="left" vertical="center"/>
      <protection locked="0"/>
    </xf>
    <xf numFmtId="9" fontId="2" fillId="0" borderId="15" xfId="5" applyNumberFormat="1" applyFont="1" applyFill="1" applyBorder="1" applyAlignment="1" applyProtection="1">
      <alignment horizontal="center" vertical="center"/>
      <protection locked="0"/>
    </xf>
    <xf numFmtId="14" fontId="2" fillId="0" borderId="15" xfId="5" applyNumberFormat="1" applyFont="1" applyFill="1" applyBorder="1" applyAlignment="1" applyProtection="1">
      <alignment horizontal="center" vertical="center"/>
      <protection locked="0"/>
    </xf>
    <xf numFmtId="3" fontId="2" fillId="0" borderId="15" xfId="5" applyNumberFormat="1" applyFont="1" applyFill="1" applyBorder="1" applyAlignment="1" applyProtection="1">
      <alignment vertical="center"/>
      <protection locked="0"/>
    </xf>
    <xf numFmtId="3" fontId="2" fillId="0" borderId="15" xfId="5" applyNumberFormat="1" applyFont="1" applyFill="1" applyBorder="1" applyAlignment="1" applyProtection="1">
      <alignment horizontal="center" vertical="center"/>
      <protection locked="0"/>
    </xf>
    <xf numFmtId="3" fontId="2" fillId="0" borderId="11" xfId="5" applyNumberFormat="1" applyFont="1" applyFill="1" applyBorder="1" applyAlignment="1">
      <alignment horizontal="center" vertical="center"/>
    </xf>
    <xf numFmtId="0" fontId="12" fillId="0" borderId="26" xfId="0" applyFont="1" applyBorder="1" applyAlignment="1" applyProtection="1">
      <alignment horizontal="left" vertical="center"/>
      <protection locked="0"/>
    </xf>
    <xf numFmtId="0" fontId="2" fillId="0" borderId="16" xfId="5" applyFont="1" applyFill="1" applyBorder="1" applyAlignment="1" applyProtection="1">
      <alignment horizontal="left" vertical="center"/>
      <protection locked="0"/>
    </xf>
    <xf numFmtId="0" fontId="2" fillId="0" borderId="17" xfId="5" applyFont="1" applyFill="1" applyBorder="1" applyAlignment="1" applyProtection="1">
      <alignment horizontal="left" vertical="center"/>
      <protection locked="0"/>
    </xf>
    <xf numFmtId="0" fontId="2" fillId="0" borderId="18" xfId="5" applyFont="1" applyFill="1" applyBorder="1" applyAlignment="1" applyProtection="1">
      <alignment horizontal="left" vertical="center"/>
      <protection locked="0"/>
    </xf>
    <xf numFmtId="9" fontId="2" fillId="0" borderId="26" xfId="5" applyNumberFormat="1" applyFont="1" applyFill="1" applyBorder="1" applyAlignment="1" applyProtection="1">
      <alignment horizontal="center" vertical="center"/>
      <protection locked="0"/>
    </xf>
    <xf numFmtId="164" fontId="2" fillId="0" borderId="26" xfId="2" applyNumberFormat="1" applyFont="1" applyFill="1" applyBorder="1" applyAlignment="1" applyProtection="1">
      <alignment vertical="center"/>
      <protection locked="0"/>
    </xf>
    <xf numFmtId="3" fontId="2" fillId="0" borderId="26" xfId="5" applyNumberFormat="1" applyFont="1" applyFill="1" applyBorder="1" applyAlignment="1" applyProtection="1">
      <alignment vertical="center"/>
      <protection locked="0"/>
    </xf>
    <xf numFmtId="3" fontId="2" fillId="0" borderId="26" xfId="5" applyNumberFormat="1" applyFont="1" applyFill="1" applyBorder="1" applyAlignment="1" applyProtection="1">
      <alignment horizontal="center" vertical="center"/>
      <protection locked="0"/>
    </xf>
    <xf numFmtId="3" fontId="2" fillId="0" borderId="15" xfId="5" applyNumberFormat="1" applyFont="1" applyFill="1" applyBorder="1" applyAlignment="1">
      <alignment horizontal="center" vertical="center"/>
    </xf>
    <xf numFmtId="164" fontId="2" fillId="0" borderId="26" xfId="2" applyNumberFormat="1" applyFont="1" applyFill="1" applyBorder="1" applyAlignment="1" applyProtection="1">
      <alignment horizontal="center" vertical="center"/>
      <protection locked="0"/>
    </xf>
    <xf numFmtId="0" fontId="2" fillId="0" borderId="16" xfId="4" applyFont="1" applyFill="1" applyBorder="1" applyAlignment="1" applyProtection="1">
      <alignment horizontal="left" vertical="center"/>
      <protection locked="0"/>
    </xf>
    <xf numFmtId="0" fontId="2" fillId="0" borderId="17" xfId="4" applyFont="1" applyFill="1" applyBorder="1" applyAlignment="1" applyProtection="1">
      <alignment horizontal="left" vertical="center"/>
      <protection locked="0"/>
    </xf>
    <xf numFmtId="0" fontId="2" fillId="0" borderId="18" xfId="4" applyFont="1" applyFill="1" applyBorder="1" applyAlignment="1" applyProtection="1">
      <alignment horizontal="left" vertical="center"/>
      <protection locked="0"/>
    </xf>
    <xf numFmtId="14" fontId="2" fillId="0" borderId="15" xfId="4" applyNumberFormat="1" applyFont="1" applyFill="1" applyBorder="1" applyAlignment="1" applyProtection="1">
      <alignment horizontal="center" vertical="center"/>
      <protection locked="0"/>
    </xf>
    <xf numFmtId="3" fontId="2" fillId="0" borderId="15" xfId="4" applyNumberFormat="1" applyFont="1" applyFill="1" applyBorder="1" applyAlignment="1" applyProtection="1">
      <alignment vertical="center"/>
      <protection locked="0"/>
    </xf>
    <xf numFmtId="3" fontId="2" fillId="0" borderId="15" xfId="4" applyNumberFormat="1" applyFont="1" applyFill="1" applyBorder="1" applyAlignment="1" applyProtection="1">
      <alignment horizontal="center" vertical="center"/>
      <protection locked="0"/>
    </xf>
    <xf numFmtId="3" fontId="2" fillId="0" borderId="15" xfId="4" applyNumberFormat="1" applyFont="1" applyFill="1" applyBorder="1" applyAlignment="1">
      <alignment horizontal="center" vertical="center"/>
    </xf>
    <xf numFmtId="0" fontId="15" fillId="0" borderId="19" xfId="0" applyFont="1" applyBorder="1" applyAlignment="1" applyProtection="1">
      <alignment horizontal="left" vertical="center"/>
      <protection locked="0"/>
    </xf>
    <xf numFmtId="0" fontId="15" fillId="0" borderId="20" xfId="0" applyFont="1" applyBorder="1" applyAlignment="1" applyProtection="1">
      <alignment horizontal="center" vertical="center"/>
      <protection locked="0"/>
    </xf>
    <xf numFmtId="0" fontId="15" fillId="0" borderId="21" xfId="0" applyFont="1" applyBorder="1" applyAlignment="1" applyProtection="1">
      <alignment horizontal="center" vertical="center"/>
      <protection locked="0"/>
    </xf>
    <xf numFmtId="14" fontId="16" fillId="0" borderId="11" xfId="0" applyNumberFormat="1" applyFont="1" applyBorder="1" applyAlignment="1" applyProtection="1">
      <alignment horizontal="center" vertical="center"/>
      <protection locked="0"/>
    </xf>
    <xf numFmtId="164" fontId="16" fillId="0" borderId="11" xfId="2" applyNumberFormat="1" applyFont="1" applyFill="1" applyBorder="1" applyAlignment="1" applyProtection="1">
      <alignment vertical="center"/>
      <protection locked="0"/>
    </xf>
    <xf numFmtId="3" fontId="16" fillId="0" borderId="11" xfId="0" applyNumberFormat="1" applyFont="1" applyBorder="1" applyAlignment="1" applyProtection="1">
      <alignment vertical="center"/>
      <protection locked="0"/>
    </xf>
    <xf numFmtId="3" fontId="16" fillId="0" borderId="11" xfId="0" applyNumberFormat="1" applyFont="1" applyBorder="1" applyAlignment="1" applyProtection="1">
      <alignment horizontal="center" vertical="center"/>
      <protection locked="0"/>
    </xf>
    <xf numFmtId="3" fontId="16" fillId="0" borderId="11" xfId="0" applyNumberFormat="1" applyFont="1" applyBorder="1" applyAlignment="1">
      <alignment horizontal="center" vertical="center"/>
    </xf>
    <xf numFmtId="164" fontId="16" fillId="0" borderId="11" xfId="2" applyNumberFormat="1" applyFont="1" applyFill="1" applyBorder="1" applyAlignment="1" applyProtection="1">
      <alignment horizontal="center" vertical="center"/>
      <protection locked="0"/>
    </xf>
    <xf numFmtId="14" fontId="3" fillId="0" borderId="22" xfId="6" applyNumberFormat="1" applyFont="1" applyFill="1" applyBorder="1" applyAlignment="1" applyProtection="1">
      <alignment horizontal="center" vertical="center"/>
      <protection locked="0"/>
    </xf>
    <xf numFmtId="164" fontId="3" fillId="0" borderId="22" xfId="2" applyNumberFormat="1" applyFont="1" applyFill="1" applyBorder="1" applyAlignment="1" applyProtection="1">
      <alignment vertical="center"/>
      <protection locked="0"/>
    </xf>
    <xf numFmtId="3" fontId="3" fillId="0" borderId="22" xfId="6" applyNumberFormat="1" applyFont="1" applyFill="1" applyBorder="1" applyAlignment="1" applyProtection="1">
      <alignment vertical="center"/>
      <protection locked="0"/>
    </xf>
    <xf numFmtId="3" fontId="3" fillId="0" borderId="22" xfId="6" applyNumberFormat="1" applyFont="1" applyFill="1" applyBorder="1" applyAlignment="1" applyProtection="1">
      <alignment horizontal="center" vertical="center"/>
      <protection locked="0"/>
    </xf>
    <xf numFmtId="164" fontId="3" fillId="0" borderId="22" xfId="2" applyNumberFormat="1" applyFont="1" applyFill="1" applyBorder="1" applyAlignment="1" applyProtection="1">
      <alignment horizontal="center" vertical="center"/>
      <protection locked="0"/>
    </xf>
    <xf numFmtId="164" fontId="3" fillId="0" borderId="11" xfId="2" applyNumberFormat="1" applyFont="1" applyFill="1" applyBorder="1" applyAlignment="1" applyProtection="1">
      <alignment horizontal="center" vertical="center"/>
      <protection locked="0"/>
    </xf>
    <xf numFmtId="164" fontId="2" fillId="0" borderId="15" xfId="2" applyNumberFormat="1" applyFont="1" applyFill="1" applyBorder="1" applyAlignment="1" applyProtection="1">
      <alignment horizontal="left" vertical="center"/>
      <protection locked="0"/>
    </xf>
    <xf numFmtId="0" fontId="2" fillId="0" borderId="16" xfId="7" applyFont="1" applyFill="1" applyBorder="1" applyAlignment="1" applyProtection="1">
      <alignment vertical="center"/>
      <protection locked="0"/>
    </xf>
    <xf numFmtId="164" fontId="2" fillId="0" borderId="15" xfId="7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Border="1" applyAlignment="1" applyProtection="1">
      <alignment horizontal="left" vertical="center"/>
      <protection locked="0"/>
    </xf>
    <xf numFmtId="14" fontId="13" fillId="0" borderId="20" xfId="0" applyNumberFormat="1" applyFont="1" applyBorder="1" applyAlignment="1" applyProtection="1">
      <alignment horizontal="center" vertical="center"/>
      <protection locked="0"/>
    </xf>
    <xf numFmtId="164" fontId="13" fillId="0" borderId="20" xfId="2" applyNumberFormat="1" applyFont="1" applyFill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vertical="center"/>
      <protection locked="0"/>
    </xf>
    <xf numFmtId="3" fontId="17" fillId="0" borderId="11" xfId="0" applyNumberFormat="1" applyFont="1" applyBorder="1" applyAlignment="1">
      <alignment horizontal="center" vertical="center"/>
    </xf>
    <xf numFmtId="164" fontId="17" fillId="0" borderId="11" xfId="2" applyNumberFormat="1" applyFont="1" applyFill="1" applyBorder="1" applyAlignment="1" applyProtection="1">
      <alignment horizontal="center"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164" fontId="13" fillId="0" borderId="20" xfId="2" applyNumberFormat="1" applyFont="1" applyFill="1" applyBorder="1" applyAlignment="1" applyProtection="1">
      <alignment horizontal="center" vertical="center"/>
      <protection locked="0"/>
    </xf>
    <xf numFmtId="164" fontId="18" fillId="0" borderId="20" xfId="2" applyNumberFormat="1" applyFont="1" applyFill="1" applyBorder="1" applyAlignment="1" applyProtection="1">
      <alignment horizontal="center" vertical="center"/>
      <protection locked="0"/>
    </xf>
    <xf numFmtId="0" fontId="2" fillId="0" borderId="23" xfId="7" applyFont="1" applyFill="1" applyBorder="1" applyAlignment="1" applyProtection="1">
      <alignment horizontal="left" vertical="center"/>
      <protection locked="0"/>
    </xf>
    <xf numFmtId="0" fontId="2" fillId="0" borderId="24" xfId="7" applyFont="1" applyFill="1" applyBorder="1" applyAlignment="1" applyProtection="1">
      <alignment horizontal="left" vertical="center"/>
      <protection locked="0"/>
    </xf>
    <xf numFmtId="0" fontId="2" fillId="0" borderId="25" xfId="7" applyFont="1" applyFill="1" applyBorder="1" applyAlignment="1" applyProtection="1">
      <alignment horizontal="left" vertical="center"/>
      <protection locked="0"/>
    </xf>
    <xf numFmtId="0" fontId="2" fillId="0" borderId="22" xfId="7" applyFont="1" applyFill="1" applyBorder="1" applyAlignment="1" applyProtection="1">
      <alignment horizontal="center" vertical="center"/>
      <protection locked="0"/>
    </xf>
    <xf numFmtId="14" fontId="2" fillId="0" borderId="22" xfId="7" applyNumberFormat="1" applyFont="1" applyFill="1" applyBorder="1" applyAlignment="1" applyProtection="1">
      <alignment horizontal="center" vertical="center"/>
      <protection locked="0"/>
    </xf>
    <xf numFmtId="164" fontId="2" fillId="0" borderId="22" xfId="2" applyNumberFormat="1" applyFont="1" applyFill="1" applyBorder="1" applyAlignment="1" applyProtection="1">
      <alignment vertical="center"/>
      <protection locked="0"/>
    </xf>
    <xf numFmtId="3" fontId="2" fillId="0" borderId="22" xfId="7" applyNumberFormat="1" applyFont="1" applyFill="1" applyBorder="1" applyAlignment="1" applyProtection="1">
      <alignment vertical="center"/>
      <protection locked="0"/>
    </xf>
    <xf numFmtId="3" fontId="2" fillId="0" borderId="22" xfId="7" applyNumberFormat="1" applyFont="1" applyFill="1" applyBorder="1" applyAlignment="1" applyProtection="1">
      <alignment horizontal="center" vertical="center"/>
      <protection locked="0"/>
    </xf>
    <xf numFmtId="164" fontId="2" fillId="0" borderId="22" xfId="2" applyNumberFormat="1" applyFont="1" applyFill="1" applyBorder="1" applyAlignment="1" applyProtection="1">
      <alignment horizontal="center" vertical="center"/>
      <protection locked="0"/>
    </xf>
    <xf numFmtId="164" fontId="2" fillId="0" borderId="11" xfId="7" applyNumberFormat="1" applyFont="1" applyFill="1" applyBorder="1" applyAlignment="1" applyProtection="1">
      <alignment horizontal="center" vertical="center"/>
      <protection locked="0"/>
    </xf>
    <xf numFmtId="0" fontId="2" fillId="0" borderId="6" xfId="7" applyFont="1" applyFill="1" applyBorder="1" applyAlignment="1" applyProtection="1">
      <alignment horizontal="left" vertical="center"/>
      <protection locked="0"/>
    </xf>
    <xf numFmtId="9" fontId="2" fillId="0" borderId="6" xfId="7" applyNumberFormat="1" applyFont="1" applyFill="1" applyBorder="1" applyAlignment="1" applyProtection="1">
      <alignment horizontal="center" vertical="center"/>
      <protection locked="0"/>
    </xf>
    <xf numFmtId="14" fontId="2" fillId="0" borderId="6" xfId="7" applyNumberFormat="1" applyFont="1" applyFill="1" applyBorder="1" applyAlignment="1" applyProtection="1">
      <alignment horizontal="center" vertical="center"/>
      <protection locked="0"/>
    </xf>
    <xf numFmtId="164" fontId="2" fillId="0" borderId="6" xfId="2" applyNumberFormat="1" applyFont="1" applyFill="1" applyBorder="1" applyAlignment="1" applyProtection="1">
      <alignment vertical="center"/>
      <protection locked="0"/>
    </xf>
    <xf numFmtId="3" fontId="2" fillId="0" borderId="6" xfId="7" applyNumberFormat="1" applyFont="1" applyFill="1" applyBorder="1" applyAlignment="1" applyProtection="1">
      <alignment vertical="center"/>
      <protection locked="0"/>
    </xf>
    <xf numFmtId="3" fontId="2" fillId="0" borderId="6" xfId="7" applyNumberFormat="1" applyFont="1" applyFill="1" applyBorder="1" applyAlignment="1" applyProtection="1">
      <alignment horizontal="center" vertical="center"/>
      <protection locked="0"/>
    </xf>
    <xf numFmtId="3" fontId="2" fillId="0" borderId="6" xfId="7" applyNumberFormat="1" applyFont="1" applyFill="1" applyBorder="1" applyAlignment="1">
      <alignment horizontal="center" vertical="center"/>
    </xf>
    <xf numFmtId="164" fontId="2" fillId="0" borderId="6" xfId="2" applyNumberFormat="1" applyFont="1" applyFill="1" applyBorder="1" applyAlignment="1" applyProtection="1">
      <alignment horizontal="center" vertical="center"/>
      <protection locked="0"/>
    </xf>
    <xf numFmtId="164" fontId="2" fillId="0" borderId="6" xfId="7" applyNumberFormat="1" applyFont="1" applyFill="1" applyBorder="1" applyAlignment="1" applyProtection="1">
      <alignment horizontal="center" vertical="center"/>
      <protection locked="0"/>
    </xf>
    <xf numFmtId="164" fontId="2" fillId="0" borderId="18" xfId="2" applyNumberFormat="1" applyFont="1" applyFill="1" applyBorder="1" applyAlignment="1" applyProtection="1">
      <alignment horizontal="left" vertical="center"/>
      <protection locked="0"/>
    </xf>
    <xf numFmtId="0" fontId="2" fillId="0" borderId="18" xfId="7" applyFont="1" applyFill="1" applyBorder="1" applyAlignment="1" applyProtection="1">
      <alignment vertical="center"/>
      <protection locked="0"/>
    </xf>
    <xf numFmtId="14" fontId="2" fillId="0" borderId="18" xfId="7" applyNumberFormat="1" applyFont="1" applyFill="1" applyBorder="1" applyAlignment="1" applyProtection="1">
      <alignment horizontal="left" vertical="center"/>
      <protection locked="0"/>
    </xf>
    <xf numFmtId="164" fontId="2" fillId="0" borderId="15" xfId="7" applyNumberFormat="1" applyFont="1" applyFill="1" applyBorder="1" applyAlignment="1" applyProtection="1">
      <alignment vertical="center"/>
      <protection locked="0"/>
    </xf>
    <xf numFmtId="9" fontId="2" fillId="0" borderId="26" xfId="7" applyNumberFormat="1" applyFont="1" applyFill="1" applyBorder="1" applyAlignment="1" applyProtection="1">
      <alignment horizontal="center" vertical="center"/>
      <protection locked="0"/>
    </xf>
    <xf numFmtId="14" fontId="2" fillId="0" borderId="26" xfId="7" applyNumberFormat="1" applyFont="1" applyFill="1" applyBorder="1" applyAlignment="1" applyProtection="1">
      <alignment horizontal="center" vertical="center"/>
      <protection locked="0"/>
    </xf>
    <xf numFmtId="164" fontId="2" fillId="0" borderId="26" xfId="7" applyNumberFormat="1" applyFont="1" applyFill="1" applyBorder="1" applyAlignment="1" applyProtection="1">
      <alignment vertical="center"/>
      <protection locked="0"/>
    </xf>
    <xf numFmtId="3" fontId="2" fillId="0" borderId="26" xfId="7" applyNumberFormat="1" applyFont="1" applyFill="1" applyBorder="1" applyAlignment="1" applyProtection="1">
      <alignment vertical="center"/>
      <protection locked="0"/>
    </xf>
    <xf numFmtId="3" fontId="2" fillId="0" borderId="26" xfId="7" applyNumberFormat="1" applyFont="1" applyFill="1" applyBorder="1" applyAlignment="1" applyProtection="1">
      <alignment horizontal="center" vertical="center"/>
      <protection locked="0"/>
    </xf>
    <xf numFmtId="164" fontId="2" fillId="0" borderId="26" xfId="7" applyNumberFormat="1" applyFont="1" applyFill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left" vertical="center"/>
      <protection locked="0"/>
    </xf>
    <xf numFmtId="0" fontId="12" fillId="0" borderId="17" xfId="0" applyFont="1" applyBorder="1" applyAlignment="1" applyProtection="1">
      <alignment horizontal="left" vertical="center"/>
      <protection locked="0"/>
    </xf>
    <xf numFmtId="0" fontId="12" fillId="0" borderId="18" xfId="0" applyFont="1" applyBorder="1" applyAlignment="1" applyProtection="1">
      <alignment horizontal="left" vertical="center"/>
      <protection locked="0"/>
    </xf>
    <xf numFmtId="9" fontId="17" fillId="0" borderId="26" xfId="0" applyNumberFormat="1" applyFont="1" applyBorder="1" applyAlignment="1" applyProtection="1">
      <alignment horizontal="center" vertical="center"/>
      <protection locked="0"/>
    </xf>
    <xf numFmtId="14" fontId="17" fillId="0" borderId="26" xfId="0" applyNumberFormat="1" applyFont="1" applyBorder="1" applyAlignment="1" applyProtection="1">
      <alignment horizontal="center" vertical="center"/>
      <protection locked="0"/>
    </xf>
    <xf numFmtId="164" fontId="17" fillId="0" borderId="26" xfId="2" applyNumberFormat="1" applyFont="1" applyFill="1" applyBorder="1" applyAlignment="1" applyProtection="1">
      <alignment vertical="center"/>
      <protection locked="0"/>
    </xf>
    <xf numFmtId="3" fontId="17" fillId="0" borderId="26" xfId="0" applyNumberFormat="1" applyFont="1" applyBorder="1" applyAlignment="1" applyProtection="1">
      <alignment vertical="center"/>
      <protection locked="0"/>
    </xf>
    <xf numFmtId="3" fontId="17" fillId="0" borderId="26" xfId="0" applyNumberFormat="1" applyFont="1" applyBorder="1" applyAlignment="1" applyProtection="1">
      <alignment horizontal="center" vertical="center"/>
      <protection locked="0"/>
    </xf>
    <xf numFmtId="3" fontId="17" fillId="0" borderId="15" xfId="0" applyNumberFormat="1" applyFont="1" applyBorder="1" applyAlignment="1">
      <alignment horizontal="center" vertical="center"/>
    </xf>
    <xf numFmtId="164" fontId="17" fillId="0" borderId="15" xfId="2" applyNumberFormat="1" applyFont="1" applyFill="1" applyBorder="1" applyAlignment="1" applyProtection="1">
      <alignment horizontal="center" vertical="center"/>
      <protection locked="0"/>
    </xf>
    <xf numFmtId="164" fontId="17" fillId="0" borderId="26" xfId="2" applyNumberFormat="1" applyFont="1" applyFill="1" applyBorder="1" applyAlignment="1" applyProtection="1">
      <alignment horizontal="center" vertical="center"/>
      <protection locked="0"/>
    </xf>
    <xf numFmtId="0" fontId="13" fillId="0" borderId="27" xfId="0" applyFont="1" applyBorder="1" applyAlignment="1" applyProtection="1">
      <alignment horizontal="center" vertical="center"/>
      <protection locked="0"/>
    </xf>
    <xf numFmtId="0" fontId="13" fillId="0" borderId="28" xfId="0" applyFont="1" applyBorder="1" applyAlignment="1" applyProtection="1">
      <alignment horizontal="center" vertical="center"/>
      <protection locked="0"/>
    </xf>
    <xf numFmtId="14" fontId="13" fillId="0" borderId="28" xfId="0" applyNumberFormat="1" applyFont="1" applyBorder="1" applyAlignment="1" applyProtection="1">
      <alignment horizontal="center" vertical="center"/>
      <protection locked="0"/>
    </xf>
    <xf numFmtId="164" fontId="13" fillId="0" borderId="28" xfId="2" applyNumberFormat="1" applyFont="1" applyFill="1" applyBorder="1" applyAlignment="1" applyProtection="1">
      <alignment vertical="center"/>
      <protection locked="0"/>
    </xf>
    <xf numFmtId="0" fontId="13" fillId="0" borderId="28" xfId="0" applyFont="1" applyBorder="1" applyAlignment="1" applyProtection="1">
      <alignment vertical="center"/>
      <protection locked="0"/>
    </xf>
    <xf numFmtId="0" fontId="13" fillId="0" borderId="29" xfId="0" applyFont="1" applyBorder="1" applyAlignment="1" applyProtection="1">
      <alignment horizontal="center" vertical="center"/>
      <protection locked="0"/>
    </xf>
    <xf numFmtId="3" fontId="14" fillId="0" borderId="15" xfId="0" applyNumberFormat="1" applyFont="1" applyBorder="1" applyAlignment="1">
      <alignment horizontal="center" vertical="center"/>
    </xf>
    <xf numFmtId="164" fontId="14" fillId="0" borderId="15" xfId="2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13" fillId="0" borderId="31" xfId="0" applyFont="1" applyBorder="1" applyAlignment="1" applyProtection="1">
      <alignment horizontal="center" vertical="center"/>
      <protection locked="0"/>
    </xf>
    <xf numFmtId="0" fontId="3" fillId="0" borderId="15" xfId="6" applyFont="1" applyFill="1" applyBorder="1" applyAlignment="1" applyProtection="1">
      <alignment horizontal="left" vertical="center"/>
      <protection locked="0"/>
    </xf>
    <xf numFmtId="9" fontId="2" fillId="0" borderId="15" xfId="6" applyNumberFormat="1" applyFill="1" applyBorder="1" applyAlignment="1" applyProtection="1">
      <alignment horizontal="center" vertical="center"/>
      <protection locked="0"/>
    </xf>
    <xf numFmtId="14" fontId="2" fillId="0" borderId="15" xfId="6" applyNumberFormat="1" applyFill="1" applyBorder="1" applyAlignment="1" applyProtection="1">
      <alignment horizontal="center" vertical="center"/>
      <protection locked="0"/>
    </xf>
    <xf numFmtId="3" fontId="2" fillId="0" borderId="15" xfId="6" applyNumberFormat="1" applyFill="1" applyBorder="1" applyAlignment="1" applyProtection="1">
      <alignment vertical="center"/>
      <protection locked="0"/>
    </xf>
    <xf numFmtId="3" fontId="2" fillId="0" borderId="15" xfId="6" applyNumberFormat="1" applyFill="1" applyBorder="1" applyAlignment="1" applyProtection="1">
      <alignment horizontal="center" vertical="center"/>
      <protection locked="0"/>
    </xf>
    <xf numFmtId="3" fontId="2" fillId="0" borderId="15" xfId="6" applyNumberForma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6" xfId="7" applyFont="1" applyFill="1" applyBorder="1" applyAlignment="1" applyProtection="1">
      <alignment horizontal="center" vertical="center"/>
      <protection locked="0"/>
    </xf>
    <xf numFmtId="164" fontId="2" fillId="0" borderId="16" xfId="7" applyNumberFormat="1" applyFont="1" applyFill="1" applyBorder="1" applyAlignment="1" applyProtection="1">
      <alignment vertical="center"/>
      <protection locked="0"/>
    </xf>
    <xf numFmtId="164" fontId="2" fillId="0" borderId="16" xfId="7" applyNumberFormat="1" applyFont="1" applyFill="1" applyBorder="1" applyAlignment="1" applyProtection="1">
      <alignment horizontal="center" vertical="center"/>
      <protection locked="0"/>
    </xf>
    <xf numFmtId="0" fontId="2" fillId="0" borderId="16" xfId="3" applyFont="1" applyFill="1" applyBorder="1" applyAlignment="1" applyProtection="1">
      <alignment horizontal="left" vertical="center"/>
      <protection locked="0"/>
    </xf>
    <xf numFmtId="0" fontId="2" fillId="0" borderId="17" xfId="3" applyFont="1" applyFill="1" applyBorder="1" applyAlignment="1" applyProtection="1">
      <alignment horizontal="left" vertical="center"/>
      <protection locked="0"/>
    </xf>
    <xf numFmtId="0" fontId="2" fillId="0" borderId="18" xfId="3" applyFont="1" applyFill="1" applyBorder="1" applyAlignment="1" applyProtection="1">
      <alignment horizontal="left" vertical="center"/>
      <protection locked="0"/>
    </xf>
    <xf numFmtId="9" fontId="2" fillId="0" borderId="15" xfId="3" applyNumberFormat="1" applyFont="1" applyFill="1" applyBorder="1" applyAlignment="1" applyProtection="1">
      <alignment horizontal="center" vertical="center"/>
      <protection locked="0"/>
    </xf>
    <xf numFmtId="14" fontId="2" fillId="0" borderId="15" xfId="3" applyNumberFormat="1" applyFont="1" applyFill="1" applyBorder="1" applyAlignment="1" applyProtection="1">
      <alignment horizontal="center" vertical="center"/>
      <protection locked="0"/>
    </xf>
    <xf numFmtId="3" fontId="2" fillId="0" borderId="15" xfId="3" applyNumberFormat="1" applyFont="1" applyFill="1" applyBorder="1" applyAlignment="1" applyProtection="1">
      <alignment vertical="center"/>
      <protection locked="0"/>
    </xf>
    <xf numFmtId="3" fontId="2" fillId="0" borderId="15" xfId="3" applyNumberFormat="1" applyFont="1" applyFill="1" applyBorder="1" applyAlignment="1" applyProtection="1">
      <alignment horizontal="center" vertical="center"/>
      <protection locked="0"/>
    </xf>
    <xf numFmtId="3" fontId="2" fillId="0" borderId="15" xfId="3" applyNumberFormat="1" applyFont="1" applyFill="1" applyBorder="1" applyAlignment="1">
      <alignment horizontal="center" vertical="center"/>
    </xf>
    <xf numFmtId="9" fontId="17" fillId="0" borderId="15" xfId="0" applyNumberFormat="1" applyFont="1" applyBorder="1" applyAlignment="1" applyProtection="1">
      <alignment horizontal="center" vertical="center"/>
      <protection locked="0"/>
    </xf>
    <xf numFmtId="14" fontId="17" fillId="0" borderId="15" xfId="0" applyNumberFormat="1" applyFont="1" applyBorder="1" applyAlignment="1" applyProtection="1">
      <alignment horizontal="center" vertical="center"/>
      <protection locked="0"/>
    </xf>
    <xf numFmtId="164" fontId="17" fillId="0" borderId="15" xfId="2" applyNumberFormat="1" applyFont="1" applyFill="1" applyBorder="1" applyAlignment="1" applyProtection="1">
      <alignment vertical="center"/>
      <protection locked="0"/>
    </xf>
    <xf numFmtId="3" fontId="17" fillId="0" borderId="15" xfId="0" applyNumberFormat="1" applyFont="1" applyBorder="1" applyAlignment="1" applyProtection="1">
      <alignment vertical="center"/>
      <protection locked="0"/>
    </xf>
    <xf numFmtId="3" fontId="17" fillId="0" borderId="15" xfId="0" applyNumberFormat="1" applyFont="1" applyBorder="1" applyAlignment="1" applyProtection="1">
      <alignment horizontal="center" vertical="center"/>
      <protection locked="0"/>
    </xf>
    <xf numFmtId="3" fontId="16" fillId="0" borderId="16" xfId="0" applyNumberFormat="1" applyFont="1" applyBorder="1" applyAlignment="1">
      <alignment horizontal="center" vertical="center"/>
    </xf>
    <xf numFmtId="3" fontId="16" fillId="0" borderId="1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164" fontId="16" fillId="0" borderId="17" xfId="2" applyNumberFormat="1" applyFont="1" applyFill="1" applyBorder="1" applyAlignment="1">
      <alignment vertical="center"/>
    </xf>
    <xf numFmtId="3" fontId="16" fillId="0" borderId="17" xfId="0" applyNumberFormat="1" applyFont="1" applyBorder="1" applyAlignment="1">
      <alignment vertical="center"/>
    </xf>
    <xf numFmtId="164" fontId="16" fillId="0" borderId="18" xfId="2" applyNumberFormat="1" applyFont="1" applyFill="1" applyBorder="1" applyAlignment="1">
      <alignment horizontal="center" vertical="center"/>
    </xf>
    <xf numFmtId="164" fontId="16" fillId="0" borderId="15" xfId="2" applyNumberFormat="1" applyFont="1" applyFill="1" applyBorder="1" applyAlignment="1" applyProtection="1">
      <alignment horizontal="center" vertical="center"/>
      <protection locked="0"/>
    </xf>
    <xf numFmtId="0" fontId="12" fillId="0" borderId="26" xfId="0" applyFont="1" applyBorder="1" applyAlignment="1" applyProtection="1">
      <alignment vertical="center"/>
      <protection locked="0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4" fontId="19" fillId="0" borderId="34" xfId="0" applyNumberFormat="1" applyFont="1" applyBorder="1" applyAlignment="1">
      <alignment horizontal="center" vertical="center"/>
    </xf>
    <xf numFmtId="164" fontId="19" fillId="0" borderId="35" xfId="2" applyNumberFormat="1" applyFont="1" applyFill="1" applyBorder="1" applyAlignment="1">
      <alignment vertical="center"/>
    </xf>
    <xf numFmtId="3" fontId="19" fillId="0" borderId="35" xfId="0" applyNumberFormat="1" applyFont="1" applyBorder="1" applyAlignment="1">
      <alignment vertical="center"/>
    </xf>
    <xf numFmtId="3" fontId="19" fillId="0" borderId="35" xfId="0" applyNumberFormat="1" applyFont="1" applyBorder="1" applyAlignment="1">
      <alignment horizontal="center" vertical="center"/>
    </xf>
    <xf numFmtId="164" fontId="19" fillId="0" borderId="35" xfId="2" applyNumberFormat="1" applyFont="1" applyFill="1" applyBorder="1" applyAlignment="1">
      <alignment horizontal="center" vertical="center"/>
    </xf>
    <xf numFmtId="0" fontId="12" fillId="0" borderId="27" xfId="0" applyFont="1" applyBorder="1" applyAlignment="1" applyProtection="1">
      <alignment horizontal="left" vertical="center"/>
      <protection locked="0"/>
    </xf>
    <xf numFmtId="0" fontId="12" fillId="0" borderId="28" xfId="0" applyFont="1" applyBorder="1" applyAlignment="1" applyProtection="1">
      <alignment horizontal="left" vertical="center"/>
      <protection locked="0"/>
    </xf>
    <xf numFmtId="0" fontId="12" fillId="0" borderId="29" xfId="0" applyFont="1" applyBorder="1" applyAlignment="1" applyProtection="1">
      <alignment horizontal="left" vertical="center"/>
      <protection locked="0"/>
    </xf>
    <xf numFmtId="3" fontId="17" fillId="0" borderId="26" xfId="0" applyNumberFormat="1" applyFont="1" applyBorder="1" applyAlignment="1">
      <alignment horizontal="center" vertical="center"/>
    </xf>
    <xf numFmtId="164" fontId="11" fillId="3" borderId="39" xfId="2" applyNumberFormat="1" applyFont="1" applyFill="1" applyBorder="1" applyAlignment="1">
      <alignment horizontal="center" vertical="center" wrapText="1"/>
    </xf>
    <xf numFmtId="164" fontId="11" fillId="3" borderId="40" xfId="2" applyNumberFormat="1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14" fontId="9" fillId="3" borderId="39" xfId="0" applyNumberFormat="1" applyFont="1" applyFill="1" applyBorder="1" applyAlignment="1">
      <alignment horizontal="center" vertical="center" wrapText="1"/>
    </xf>
    <xf numFmtId="14" fontId="9" fillId="3" borderId="40" xfId="0" applyNumberFormat="1" applyFont="1" applyFill="1" applyBorder="1" applyAlignment="1">
      <alignment horizontal="center" vertical="center" wrapText="1"/>
    </xf>
    <xf numFmtId="164" fontId="9" fillId="3" borderId="39" xfId="2" applyNumberFormat="1" applyFont="1" applyFill="1" applyBorder="1" applyAlignment="1">
      <alignment horizontal="center" vertical="center" wrapText="1"/>
    </xf>
    <xf numFmtId="164" fontId="9" fillId="3" borderId="40" xfId="2" applyNumberFormat="1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20" fillId="0" borderId="19" xfId="0" applyFont="1" applyBorder="1" applyAlignment="1" applyProtection="1">
      <alignment horizontal="left" vertical="center"/>
      <protection locked="0"/>
    </xf>
  </cellXfs>
  <cellStyles count="9">
    <cellStyle name="40 % - Accent3" xfId="6" builtinId="39"/>
    <cellStyle name="Accent2" xfId="5" builtinId="33"/>
    <cellStyle name="Accent4" xfId="7" builtinId="41"/>
    <cellStyle name="Accent5" xfId="8" builtinId="45"/>
    <cellStyle name="Insatisfaisant" xfId="3" builtinId="27"/>
    <cellStyle name="Milliers" xfId="2" builtinId="3"/>
    <cellStyle name="Milliers [0]" xfId="1" builtinId="6"/>
    <cellStyle name="Neutre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476250</xdr:colOff>
      <xdr:row>14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2326969-F2F1-5BFA-D4D3-2E4475463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0250" cy="2743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QA\SUIVI%20DES%20IMMOBILISATIONS\AMORTISSEMENT\LIASSE%20GQA%20ET%20TABLEAU%20AMORTISSEMENT.xlsx" TargetMode="External"/><Relationship Id="rId1" Type="http://schemas.openxmlformats.org/officeDocument/2006/relationships/externalLinkPath" Target="file:///D:\GQA\SUIVI%20DES%20IMMOBILISATIONS\AMORTISSEMENT\LIASSE%20GQA%20ET%20TABLEAU%20AMORTISS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RDE (DGI)"/>
      <sheetName val="Liste ETATS SUPPL DGI"/>
      <sheetName val="SUPPL1-CHARGES"/>
      <sheetName val="SUPPL2-PRODUITS"/>
      <sheetName val="SUPPL3-TVA (1)"/>
      <sheetName val="SUPPL4-TVA (2)"/>
      <sheetName val="SUPPL5"/>
      <sheetName val="SUPPL6"/>
      <sheetName val="SUPPL7"/>
      <sheetName val="SUPPL8"/>
      <sheetName val="Feuil1"/>
      <sheetName val="SUPPL9"/>
      <sheetName val="SUPPL10"/>
      <sheetName val="SUPPL  11"/>
      <sheetName val="SUPPL12"/>
      <sheetName val="SUPPL13"/>
      <sheetName val="SUPPL14"/>
      <sheetName val="SUPPL15"/>
      <sheetName val="SUPPL16"/>
      <sheetName val="SUPPL17"/>
      <sheetName val="SUPPL18"/>
      <sheetName val="SUPPL19 RESULTAT FISCAL"/>
      <sheetName val="SUPPL20 BAV IS_PARAMETRE"/>
      <sheetName val="SUPPL20 BAV IS_NON PARAMETRE"/>
      <sheetName val="SUPPL20 BAV_IBICA_IBNC"/>
      <sheetName val="PREL ET RET SUPPORTES IMPUTABLE"/>
      <sheetName val="ANNEXE 1 PREL DOUANES"/>
      <sheetName val="ANNEXE 2_PREL INTERIEUR"/>
      <sheetName val="ANNEX 2_PREL INTERIEUR"/>
      <sheetName val="ANNEXE 3_ RET SUPPORTEES"/>
      <sheetName val="PAGE GARDE IS"/>
      <sheetName val="PAGE GARDE IBICA "/>
      <sheetName val="PAGE GARDE BNC"/>
      <sheetName val="LIASSE GQA ET TABLEAU AMORTIS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B1D2-E4C4-40A0-B3CA-201D6F3B2D72}">
  <dimension ref="A2:F17"/>
  <sheetViews>
    <sheetView workbookViewId="0">
      <selection sqref="A1:XFD1048576"/>
    </sheetView>
  </sheetViews>
  <sheetFormatPr baseColWidth="10" defaultRowHeight="14.4" x14ac:dyDescent="0.3"/>
  <cols>
    <col min="2" max="2" width="15.33203125" customWidth="1"/>
    <col min="3" max="3" width="38.6640625" customWidth="1"/>
    <col min="4" max="4" width="16.6640625" customWidth="1"/>
    <col min="5" max="5" width="17.88671875" customWidth="1"/>
    <col min="6" max="6" width="16.44140625" customWidth="1"/>
  </cols>
  <sheetData>
    <row r="2" spans="1:6" ht="15" thickBot="1" x14ac:dyDescent="0.35"/>
    <row r="3" spans="1:6" ht="15" thickBot="1" x14ac:dyDescent="0.35">
      <c r="B3" s="8" t="s">
        <v>10</v>
      </c>
      <c r="C3" s="8" t="s">
        <v>11</v>
      </c>
      <c r="D3" s="10"/>
      <c r="E3" s="10"/>
    </row>
    <row r="4" spans="1:6" ht="15" thickBot="1" x14ac:dyDescent="0.35"/>
    <row r="5" spans="1:6" ht="15" thickBot="1" x14ac:dyDescent="0.35">
      <c r="A5" s="4" t="s">
        <v>3</v>
      </c>
      <c r="B5" s="5" t="s">
        <v>8</v>
      </c>
      <c r="C5" s="5" t="s">
        <v>1</v>
      </c>
      <c r="D5" s="5" t="s">
        <v>30</v>
      </c>
      <c r="E5" s="5" t="s">
        <v>27</v>
      </c>
      <c r="F5" s="6" t="s">
        <v>0</v>
      </c>
    </row>
    <row r="6" spans="1:6" x14ac:dyDescent="0.3">
      <c r="F6" s="1"/>
    </row>
    <row r="7" spans="1:6" x14ac:dyDescent="0.3">
      <c r="A7" s="1">
        <v>1022025</v>
      </c>
      <c r="B7" s="1">
        <v>10021</v>
      </c>
      <c r="C7" t="s">
        <v>29</v>
      </c>
      <c r="E7" t="s">
        <v>28</v>
      </c>
      <c r="F7" s="1">
        <v>105000</v>
      </c>
    </row>
    <row r="8" spans="1:6" x14ac:dyDescent="0.3">
      <c r="A8" s="1"/>
      <c r="B8" s="1"/>
      <c r="F8" s="1"/>
    </row>
    <row r="9" spans="1:6" x14ac:dyDescent="0.3">
      <c r="A9" s="1"/>
      <c r="B9" s="1"/>
      <c r="F9" s="1"/>
    </row>
    <row r="10" spans="1:6" x14ac:dyDescent="0.3">
      <c r="F10" s="1"/>
    </row>
    <row r="11" spans="1:6" x14ac:dyDescent="0.3">
      <c r="F11" s="1"/>
    </row>
    <row r="12" spans="1:6" x14ac:dyDescent="0.3">
      <c r="F12" s="1"/>
    </row>
    <row r="13" spans="1:6" x14ac:dyDescent="0.3">
      <c r="F13" s="1"/>
    </row>
    <row r="14" spans="1:6" x14ac:dyDescent="0.3">
      <c r="F14" s="1"/>
    </row>
    <row r="15" spans="1:6" x14ac:dyDescent="0.3">
      <c r="F15" s="1"/>
    </row>
    <row r="16" spans="1:6" x14ac:dyDescent="0.3">
      <c r="F16" s="1"/>
    </row>
    <row r="17" spans="6:6" x14ac:dyDescent="0.3">
      <c r="F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A4B8-4949-4C17-ACAA-4792C9903363}">
  <dimension ref="A2:F21"/>
  <sheetViews>
    <sheetView workbookViewId="0">
      <selection activeCell="E15" sqref="E15"/>
    </sheetView>
  </sheetViews>
  <sheetFormatPr baseColWidth="10" defaultRowHeight="14.4" x14ac:dyDescent="0.3"/>
  <cols>
    <col min="2" max="2" width="15.33203125" customWidth="1"/>
    <col min="3" max="3" width="38.6640625" customWidth="1"/>
    <col min="4" max="4" width="16.6640625" customWidth="1"/>
    <col min="5" max="5" width="17.88671875" customWidth="1"/>
    <col min="6" max="6" width="16.44140625" customWidth="1"/>
  </cols>
  <sheetData>
    <row r="2" spans="1:6" ht="15" thickBot="1" x14ac:dyDescent="0.35"/>
    <row r="3" spans="1:6" ht="15" thickBot="1" x14ac:dyDescent="0.35">
      <c r="B3" s="8" t="s">
        <v>10</v>
      </c>
      <c r="C3" s="8" t="s">
        <v>11</v>
      </c>
      <c r="D3" s="10"/>
      <c r="E3" s="10"/>
    </row>
    <row r="4" spans="1:6" ht="15" thickBot="1" x14ac:dyDescent="0.35"/>
    <row r="5" spans="1:6" ht="15" thickBot="1" x14ac:dyDescent="0.35">
      <c r="A5" s="4" t="s">
        <v>3</v>
      </c>
      <c r="B5" s="5" t="s">
        <v>8</v>
      </c>
      <c r="C5" s="5" t="s">
        <v>31</v>
      </c>
      <c r="D5" s="5" t="s">
        <v>30</v>
      </c>
      <c r="E5" s="5" t="s">
        <v>27</v>
      </c>
      <c r="F5" s="13" t="s">
        <v>0</v>
      </c>
    </row>
    <row r="6" spans="1:6" x14ac:dyDescent="0.3">
      <c r="F6" s="1"/>
    </row>
    <row r="7" spans="1:6" x14ac:dyDescent="0.3">
      <c r="A7" s="1">
        <v>1022025</v>
      </c>
      <c r="B7" s="1">
        <v>10021</v>
      </c>
      <c r="C7" t="s">
        <v>32</v>
      </c>
      <c r="E7" s="1" t="s">
        <v>28</v>
      </c>
      <c r="F7" s="2">
        <v>105000</v>
      </c>
    </row>
    <row r="8" spans="1:6" x14ac:dyDescent="0.3">
      <c r="A8" s="1"/>
      <c r="B8" s="1"/>
      <c r="E8" s="1"/>
      <c r="F8" s="2"/>
    </row>
    <row r="9" spans="1:6" x14ac:dyDescent="0.3">
      <c r="A9" s="1"/>
      <c r="B9" s="1"/>
      <c r="E9" s="1"/>
      <c r="F9" s="2"/>
    </row>
    <row r="10" spans="1:6" x14ac:dyDescent="0.3">
      <c r="E10" s="1"/>
      <c r="F10" s="2"/>
    </row>
    <row r="11" spans="1:6" x14ac:dyDescent="0.3">
      <c r="E11" s="1"/>
      <c r="F11" s="2"/>
    </row>
    <row r="12" spans="1:6" x14ac:dyDescent="0.3">
      <c r="E12" s="1"/>
      <c r="F12" s="2"/>
    </row>
    <row r="13" spans="1:6" x14ac:dyDescent="0.3">
      <c r="E13" s="1"/>
      <c r="F13" s="2"/>
    </row>
    <row r="14" spans="1:6" x14ac:dyDescent="0.3">
      <c r="E14" s="1"/>
      <c r="F14" s="2"/>
    </row>
    <row r="15" spans="1:6" x14ac:dyDescent="0.3">
      <c r="F15" s="2"/>
    </row>
    <row r="16" spans="1:6" x14ac:dyDescent="0.3">
      <c r="F16" s="2"/>
    </row>
    <row r="17" spans="6:6" x14ac:dyDescent="0.3">
      <c r="F17" s="2"/>
    </row>
    <row r="18" spans="6:6" x14ac:dyDescent="0.3">
      <c r="F18" s="17"/>
    </row>
    <row r="19" spans="6:6" x14ac:dyDescent="0.3">
      <c r="F19" s="17"/>
    </row>
    <row r="20" spans="6:6" x14ac:dyDescent="0.3">
      <c r="F20" s="17"/>
    </row>
    <row r="21" spans="6:6" x14ac:dyDescent="0.3">
      <c r="F2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C21D-56AB-40AE-A6B2-DAAF080E8D81}">
  <dimension ref="A2:E17"/>
  <sheetViews>
    <sheetView workbookViewId="0">
      <selection activeCell="C36" sqref="C36"/>
    </sheetView>
  </sheetViews>
  <sheetFormatPr baseColWidth="10" defaultRowHeight="14.4" x14ac:dyDescent="0.3"/>
  <cols>
    <col min="2" max="2" width="15.33203125" customWidth="1"/>
    <col min="3" max="3" width="38.6640625" customWidth="1"/>
    <col min="4" max="4" width="16.44140625" customWidth="1"/>
  </cols>
  <sheetData>
    <row r="2" spans="1:5" ht="15" thickBot="1" x14ac:dyDescent="0.35"/>
    <row r="3" spans="1:5" ht="15" thickBot="1" x14ac:dyDescent="0.35">
      <c r="B3" s="8" t="s">
        <v>10</v>
      </c>
      <c r="C3" s="8" t="s">
        <v>11</v>
      </c>
    </row>
    <row r="4" spans="1:5" ht="15" thickBot="1" x14ac:dyDescent="0.35"/>
    <row r="5" spans="1:5" ht="15" thickBot="1" x14ac:dyDescent="0.35">
      <c r="A5" s="4" t="s">
        <v>3</v>
      </c>
      <c r="B5" s="5" t="s">
        <v>19</v>
      </c>
      <c r="C5" s="5" t="s">
        <v>2</v>
      </c>
      <c r="D5" s="6" t="s">
        <v>4</v>
      </c>
      <c r="E5" s="7" t="s">
        <v>9</v>
      </c>
    </row>
    <row r="6" spans="1:5" x14ac:dyDescent="0.3">
      <c r="D6" s="1"/>
    </row>
    <row r="7" spans="1:5" x14ac:dyDescent="0.3">
      <c r="A7" s="1">
        <v>1022025</v>
      </c>
      <c r="B7" s="1">
        <v>10021</v>
      </c>
      <c r="C7" t="s">
        <v>12</v>
      </c>
      <c r="D7" s="1">
        <v>10</v>
      </c>
      <c r="E7" t="s">
        <v>16</v>
      </c>
    </row>
    <row r="8" spans="1:5" x14ac:dyDescent="0.3">
      <c r="A8" s="1"/>
      <c r="B8" s="1"/>
      <c r="C8" t="s">
        <v>13</v>
      </c>
      <c r="D8" s="1"/>
    </row>
    <row r="9" spans="1:5" x14ac:dyDescent="0.3">
      <c r="A9" s="1"/>
      <c r="B9" s="1"/>
      <c r="D9" s="1"/>
    </row>
    <row r="10" spans="1:5" x14ac:dyDescent="0.3">
      <c r="D10" s="1"/>
    </row>
    <row r="11" spans="1:5" x14ac:dyDescent="0.3">
      <c r="D11" s="1"/>
    </row>
    <row r="12" spans="1:5" x14ac:dyDescent="0.3">
      <c r="D12" s="1"/>
    </row>
    <row r="13" spans="1:5" x14ac:dyDescent="0.3">
      <c r="D13" s="1"/>
    </row>
    <row r="14" spans="1:5" x14ac:dyDescent="0.3">
      <c r="D14" s="1"/>
    </row>
    <row r="15" spans="1:5" x14ac:dyDescent="0.3">
      <c r="D15" s="1"/>
    </row>
    <row r="16" spans="1:5" x14ac:dyDescent="0.3">
      <c r="D16" s="1"/>
    </row>
    <row r="17" spans="4:4" x14ac:dyDescent="0.3">
      <c r="D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1EEF-8403-42BF-BA31-AF3A30E1CB29}">
  <dimension ref="A2:F17"/>
  <sheetViews>
    <sheetView workbookViewId="0">
      <selection activeCell="F16" sqref="F16"/>
    </sheetView>
  </sheetViews>
  <sheetFormatPr baseColWidth="10" defaultRowHeight="14.4" x14ac:dyDescent="0.3"/>
  <cols>
    <col min="2" max="2" width="15.33203125" customWidth="1"/>
    <col min="3" max="3" width="38.6640625" customWidth="1"/>
    <col min="4" max="4" width="16.44140625" customWidth="1"/>
    <col min="5" max="5" width="19.6640625" customWidth="1"/>
  </cols>
  <sheetData>
    <row r="2" spans="1:6" ht="15" thickBot="1" x14ac:dyDescent="0.35"/>
    <row r="3" spans="1:6" ht="15" thickBot="1" x14ac:dyDescent="0.35">
      <c r="B3" s="8" t="s">
        <v>10</v>
      </c>
      <c r="C3" s="8" t="s">
        <v>11</v>
      </c>
    </row>
    <row r="4" spans="1:6" ht="15" thickBot="1" x14ac:dyDescent="0.35"/>
    <row r="5" spans="1:6" ht="15" thickBot="1" x14ac:dyDescent="0.35">
      <c r="A5" s="4" t="s">
        <v>3</v>
      </c>
      <c r="B5" s="5" t="s">
        <v>8</v>
      </c>
      <c r="C5" s="5" t="s">
        <v>2</v>
      </c>
      <c r="D5" s="6" t="s">
        <v>4</v>
      </c>
      <c r="E5" s="6" t="s">
        <v>20</v>
      </c>
      <c r="F5" s="7" t="s">
        <v>9</v>
      </c>
    </row>
    <row r="6" spans="1:6" x14ac:dyDescent="0.3">
      <c r="D6" s="1"/>
      <c r="E6" s="1"/>
    </row>
    <row r="7" spans="1:6" x14ac:dyDescent="0.3">
      <c r="A7" s="1">
        <v>1022025</v>
      </c>
      <c r="B7" s="1">
        <v>10021</v>
      </c>
      <c r="C7" t="s">
        <v>12</v>
      </c>
      <c r="D7" s="1">
        <v>10</v>
      </c>
      <c r="E7" s="1" t="s">
        <v>15</v>
      </c>
      <c r="F7" t="s">
        <v>16</v>
      </c>
    </row>
    <row r="8" spans="1:6" x14ac:dyDescent="0.3">
      <c r="A8" s="1"/>
      <c r="B8" s="1"/>
      <c r="C8" t="s">
        <v>13</v>
      </c>
      <c r="D8" s="1"/>
      <c r="E8" s="1"/>
    </row>
    <row r="9" spans="1:6" x14ac:dyDescent="0.3">
      <c r="A9" s="1"/>
      <c r="B9" s="1"/>
      <c r="D9" s="1"/>
      <c r="E9" s="1"/>
    </row>
    <row r="10" spans="1:6" x14ac:dyDescent="0.3">
      <c r="A10" s="1"/>
      <c r="B10" s="1"/>
      <c r="D10" s="1"/>
      <c r="E10" s="1"/>
    </row>
    <row r="11" spans="1:6" x14ac:dyDescent="0.3">
      <c r="A11" s="1"/>
      <c r="B11" s="1"/>
      <c r="D11" s="1"/>
      <c r="E11" s="1"/>
    </row>
    <row r="12" spans="1:6" x14ac:dyDescent="0.3">
      <c r="A12" s="1"/>
      <c r="B12" s="1"/>
      <c r="D12" s="1"/>
      <c r="E12" s="1"/>
    </row>
    <row r="13" spans="1:6" x14ac:dyDescent="0.3">
      <c r="A13" s="1"/>
      <c r="B13" s="1"/>
      <c r="D13" s="1"/>
      <c r="E13" s="1"/>
    </row>
    <row r="14" spans="1:6" x14ac:dyDescent="0.3">
      <c r="A14" s="1"/>
      <c r="B14" s="1"/>
      <c r="D14" s="1"/>
      <c r="E14" s="1"/>
    </row>
    <row r="15" spans="1:6" x14ac:dyDescent="0.3">
      <c r="A15" s="1"/>
      <c r="B15" s="1"/>
      <c r="D15" s="1"/>
      <c r="E15" s="1"/>
    </row>
    <row r="16" spans="1:6" x14ac:dyDescent="0.3">
      <c r="A16" s="1"/>
      <c r="B16" s="1"/>
      <c r="D16" s="1"/>
      <c r="E16" s="1"/>
    </row>
    <row r="17" spans="1:5" x14ac:dyDescent="0.3">
      <c r="A17" s="1"/>
      <c r="B17" s="1"/>
      <c r="D17" s="1"/>
      <c r="E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1EDF-27DF-4456-B0BA-7B6BD37F5271}">
  <dimension ref="A2:J17"/>
  <sheetViews>
    <sheetView workbookViewId="0">
      <selection activeCell="D39" sqref="D39"/>
    </sheetView>
  </sheetViews>
  <sheetFormatPr baseColWidth="10" defaultRowHeight="14.4" x14ac:dyDescent="0.3"/>
  <cols>
    <col min="2" max="2" width="15.33203125" customWidth="1"/>
    <col min="3" max="3" width="38.6640625" customWidth="1"/>
    <col min="4" max="4" width="14" customWidth="1"/>
    <col min="5" max="5" width="16.44140625" customWidth="1"/>
    <col min="6" max="6" width="14.5546875" customWidth="1"/>
    <col min="8" max="8" width="16" customWidth="1"/>
    <col min="9" max="9" width="19.6640625" customWidth="1"/>
  </cols>
  <sheetData>
    <row r="2" spans="1:10" ht="15" thickBot="1" x14ac:dyDescent="0.35"/>
    <row r="3" spans="1:10" ht="15" thickBot="1" x14ac:dyDescent="0.35">
      <c r="B3" s="8" t="s">
        <v>10</v>
      </c>
      <c r="C3" s="8" t="s">
        <v>11</v>
      </c>
      <c r="D3" s="10"/>
    </row>
    <row r="4" spans="1:10" ht="15" thickBot="1" x14ac:dyDescent="0.35"/>
    <row r="5" spans="1:10" ht="15" thickBot="1" x14ac:dyDescent="0.35">
      <c r="A5" s="4" t="s">
        <v>3</v>
      </c>
      <c r="B5" s="5" t="s">
        <v>8</v>
      </c>
      <c r="C5" s="5" t="s">
        <v>2</v>
      </c>
      <c r="D5" s="5" t="s">
        <v>17</v>
      </c>
      <c r="E5" s="6" t="s">
        <v>4</v>
      </c>
      <c r="F5" s="6" t="s">
        <v>5</v>
      </c>
      <c r="G5" s="6" t="s">
        <v>0</v>
      </c>
      <c r="H5" s="6" t="s">
        <v>6</v>
      </c>
      <c r="I5" s="6" t="s">
        <v>7</v>
      </c>
      <c r="J5" s="7" t="s">
        <v>9</v>
      </c>
    </row>
    <row r="6" spans="1:10" x14ac:dyDescent="0.3">
      <c r="E6" s="1"/>
      <c r="F6" s="1"/>
      <c r="G6" s="1"/>
      <c r="H6" s="1"/>
      <c r="I6" s="1"/>
    </row>
    <row r="7" spans="1:10" x14ac:dyDescent="0.3">
      <c r="A7" s="1">
        <v>1022025</v>
      </c>
      <c r="B7" s="1">
        <v>10021</v>
      </c>
      <c r="C7" t="s">
        <v>12</v>
      </c>
      <c r="D7" t="s">
        <v>18</v>
      </c>
      <c r="E7" s="1">
        <v>10</v>
      </c>
      <c r="F7" s="1">
        <v>105000</v>
      </c>
      <c r="G7" s="1">
        <v>1050000</v>
      </c>
      <c r="H7" s="9" t="s">
        <v>14</v>
      </c>
      <c r="I7" s="1" t="s">
        <v>15</v>
      </c>
      <c r="J7" t="s">
        <v>16</v>
      </c>
    </row>
    <row r="8" spans="1:10" x14ac:dyDescent="0.3">
      <c r="A8" s="1"/>
      <c r="B8" s="1"/>
      <c r="C8" t="s">
        <v>13</v>
      </c>
      <c r="E8" s="1"/>
      <c r="F8" s="1"/>
      <c r="G8" s="1"/>
      <c r="H8" s="1"/>
      <c r="I8" s="1"/>
    </row>
    <row r="9" spans="1:10" x14ac:dyDescent="0.3">
      <c r="A9" s="1"/>
      <c r="B9" s="1"/>
      <c r="E9" s="1"/>
      <c r="F9" s="1"/>
      <c r="G9" s="1"/>
      <c r="H9" s="1"/>
      <c r="I9" s="1"/>
    </row>
    <row r="10" spans="1:10" x14ac:dyDescent="0.3">
      <c r="E10" s="1"/>
      <c r="F10" s="1"/>
      <c r="G10" s="1"/>
      <c r="H10" s="1"/>
      <c r="I10" s="1"/>
    </row>
    <row r="11" spans="1:10" x14ac:dyDescent="0.3">
      <c r="E11" s="1"/>
      <c r="F11" s="1"/>
      <c r="G11" s="1"/>
      <c r="H11" s="1"/>
      <c r="I11" s="1"/>
    </row>
    <row r="12" spans="1:10" x14ac:dyDescent="0.3">
      <c r="E12" s="1"/>
      <c r="F12" s="1"/>
      <c r="G12" s="1"/>
      <c r="H12" s="1"/>
      <c r="I12" s="1"/>
    </row>
    <row r="13" spans="1:10" x14ac:dyDescent="0.3">
      <c r="E13" s="1"/>
      <c r="F13" s="1"/>
      <c r="G13" s="1"/>
      <c r="H13" s="1"/>
      <c r="I13" s="1"/>
    </row>
    <row r="14" spans="1:10" x14ac:dyDescent="0.3">
      <c r="E14" s="1"/>
      <c r="F14" s="1"/>
      <c r="G14" s="1"/>
      <c r="H14" s="1"/>
      <c r="I14" s="1"/>
    </row>
    <row r="15" spans="1:10" x14ac:dyDescent="0.3">
      <c r="E15" s="1"/>
      <c r="F15" s="1"/>
      <c r="G15" s="1"/>
      <c r="H15" s="1"/>
      <c r="I15" s="1"/>
    </row>
    <row r="16" spans="1:10" x14ac:dyDescent="0.3">
      <c r="E16" s="1"/>
      <c r="F16" s="1"/>
      <c r="G16" s="1"/>
      <c r="H16" s="1"/>
      <c r="I16" s="1"/>
    </row>
    <row r="17" spans="5:9" x14ac:dyDescent="0.3">
      <c r="E17" s="1"/>
      <c r="F17" s="1"/>
      <c r="G17" s="1"/>
      <c r="H17" s="1"/>
      <c r="I1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7905-9ED8-4DAC-B363-325DD742765D}">
  <dimension ref="A1:G17"/>
  <sheetViews>
    <sheetView workbookViewId="0">
      <selection activeCell="F14" sqref="F14"/>
    </sheetView>
  </sheetViews>
  <sheetFormatPr baseColWidth="10" defaultRowHeight="14.4" x14ac:dyDescent="0.3"/>
  <cols>
    <col min="2" max="2" width="15.33203125" customWidth="1"/>
    <col min="3" max="3" width="38.6640625" customWidth="1"/>
    <col min="4" max="4" width="14" customWidth="1"/>
    <col min="5" max="5" width="16.44140625" customWidth="1"/>
    <col min="6" max="6" width="16" customWidth="1"/>
    <col min="7" max="7" width="19.6640625" customWidth="1"/>
  </cols>
  <sheetData>
    <row r="1" spans="1:7" ht="15" thickBot="1" x14ac:dyDescent="0.35"/>
    <row r="2" spans="1:7" ht="15" thickBot="1" x14ac:dyDescent="0.35">
      <c r="D2" s="8" t="s">
        <v>22</v>
      </c>
      <c r="E2" s="3"/>
    </row>
    <row r="3" spans="1:7" ht="15" thickBot="1" x14ac:dyDescent="0.35">
      <c r="B3" s="8" t="s">
        <v>10</v>
      </c>
      <c r="C3" s="11" t="s">
        <v>11</v>
      </c>
      <c r="D3" s="12" t="s">
        <v>21</v>
      </c>
      <c r="E3" s="3"/>
    </row>
    <row r="4" spans="1:7" ht="15" thickBot="1" x14ac:dyDescent="0.35"/>
    <row r="5" spans="1:7" ht="15" thickBot="1" x14ac:dyDescent="0.35">
      <c r="A5" s="4" t="s">
        <v>3</v>
      </c>
      <c r="B5" s="5" t="s">
        <v>8</v>
      </c>
      <c r="C5" s="5" t="s">
        <v>2</v>
      </c>
      <c r="D5" s="5"/>
      <c r="E5" s="13" t="s">
        <v>4</v>
      </c>
      <c r="F5" s="13" t="s">
        <v>6</v>
      </c>
      <c r="G5" s="13" t="s">
        <v>7</v>
      </c>
    </row>
    <row r="6" spans="1:7" x14ac:dyDescent="0.3">
      <c r="E6" s="1"/>
      <c r="F6" s="1"/>
      <c r="G6" s="1"/>
    </row>
    <row r="7" spans="1:7" x14ac:dyDescent="0.3">
      <c r="A7" s="1">
        <v>1022025</v>
      </c>
      <c r="B7" s="1">
        <v>10021</v>
      </c>
      <c r="C7" t="s">
        <v>12</v>
      </c>
      <c r="E7" s="1">
        <v>10</v>
      </c>
      <c r="F7" s="9" t="s">
        <v>14</v>
      </c>
      <c r="G7" s="1" t="s">
        <v>15</v>
      </c>
    </row>
    <row r="8" spans="1:7" x14ac:dyDescent="0.3">
      <c r="A8" s="1"/>
      <c r="B8" s="1"/>
      <c r="C8" t="s">
        <v>13</v>
      </c>
      <c r="E8" s="1"/>
      <c r="F8" s="1"/>
      <c r="G8" s="1"/>
    </row>
    <row r="9" spans="1:7" x14ac:dyDescent="0.3">
      <c r="A9" s="1"/>
      <c r="B9" s="1"/>
      <c r="E9" s="1"/>
      <c r="F9" s="1"/>
      <c r="G9" s="1"/>
    </row>
    <row r="10" spans="1:7" x14ac:dyDescent="0.3">
      <c r="E10" s="1"/>
      <c r="F10" s="1"/>
      <c r="G10" s="1"/>
    </row>
    <row r="11" spans="1:7" x14ac:dyDescent="0.3">
      <c r="E11" s="1"/>
      <c r="F11" s="1"/>
      <c r="G11" s="1"/>
    </row>
    <row r="12" spans="1:7" x14ac:dyDescent="0.3">
      <c r="E12" s="1"/>
      <c r="F12" s="1"/>
      <c r="G12" s="1"/>
    </row>
    <row r="13" spans="1:7" x14ac:dyDescent="0.3">
      <c r="E13" s="1"/>
      <c r="F13" s="1"/>
      <c r="G13" s="1"/>
    </row>
    <row r="14" spans="1:7" x14ac:dyDescent="0.3">
      <c r="E14" s="1"/>
      <c r="F14" s="1"/>
      <c r="G14" s="1"/>
    </row>
    <row r="15" spans="1:7" x14ac:dyDescent="0.3">
      <c r="E15" s="1"/>
      <c r="F15" s="1"/>
      <c r="G15" s="1"/>
    </row>
    <row r="16" spans="1:7" x14ac:dyDescent="0.3">
      <c r="E16" s="1"/>
      <c r="F16" s="1"/>
      <c r="G16" s="1"/>
    </row>
    <row r="17" spans="5:7" x14ac:dyDescent="0.3">
      <c r="E17" s="1"/>
      <c r="F17" s="1"/>
      <c r="G1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039F-4975-4B90-B72B-E265518FC153}">
  <dimension ref="A2:I24"/>
  <sheetViews>
    <sheetView workbookViewId="0">
      <selection activeCell="C17" sqref="C17"/>
    </sheetView>
  </sheetViews>
  <sheetFormatPr baseColWidth="10" defaultRowHeight="14.4" x14ac:dyDescent="0.3"/>
  <cols>
    <col min="2" max="2" width="15.33203125" customWidth="1"/>
    <col min="3" max="3" width="38.6640625" customWidth="1"/>
    <col min="4" max="4" width="16.44140625" customWidth="1"/>
    <col min="5" max="5" width="14.5546875" customWidth="1"/>
    <col min="7" max="7" width="16" customWidth="1"/>
    <col min="8" max="8" width="19.6640625" customWidth="1"/>
  </cols>
  <sheetData>
    <row r="2" spans="1:9" ht="15" thickBot="1" x14ac:dyDescent="0.35"/>
    <row r="3" spans="1:9" ht="15" thickBot="1" x14ac:dyDescent="0.35">
      <c r="B3" s="8" t="s">
        <v>10</v>
      </c>
      <c r="C3" s="8" t="s">
        <v>11</v>
      </c>
    </row>
    <row r="4" spans="1:9" ht="15" thickBot="1" x14ac:dyDescent="0.35"/>
    <row r="5" spans="1:9" ht="15" thickBot="1" x14ac:dyDescent="0.35">
      <c r="A5" s="14" t="s">
        <v>3</v>
      </c>
      <c r="B5" s="5" t="s">
        <v>8</v>
      </c>
      <c r="C5" s="5" t="s">
        <v>2</v>
      </c>
      <c r="D5" s="6" t="s">
        <v>23</v>
      </c>
      <c r="E5" s="6" t="s">
        <v>5</v>
      </c>
      <c r="F5" s="6" t="s">
        <v>0</v>
      </c>
      <c r="G5" s="6" t="s">
        <v>24</v>
      </c>
      <c r="H5" s="6" t="s">
        <v>25</v>
      </c>
      <c r="I5" s="6" t="s">
        <v>26</v>
      </c>
    </row>
    <row r="6" spans="1:9" x14ac:dyDescent="0.3">
      <c r="D6" s="1"/>
      <c r="E6" s="1"/>
      <c r="F6" s="1"/>
      <c r="G6" s="1"/>
      <c r="H6" s="1"/>
    </row>
    <row r="7" spans="1:9" x14ac:dyDescent="0.3">
      <c r="A7" s="1">
        <v>1022025</v>
      </c>
      <c r="B7" s="1">
        <v>10021</v>
      </c>
      <c r="C7" t="s">
        <v>12</v>
      </c>
      <c r="D7" s="1">
        <v>10</v>
      </c>
      <c r="E7" s="1">
        <v>105000</v>
      </c>
      <c r="F7" s="1">
        <v>1050000</v>
      </c>
      <c r="G7" s="15">
        <v>2</v>
      </c>
      <c r="H7" s="15">
        <v>6</v>
      </c>
      <c r="I7" s="15">
        <v>2</v>
      </c>
    </row>
    <row r="8" spans="1:9" x14ac:dyDescent="0.3">
      <c r="A8" s="1"/>
      <c r="B8" s="1"/>
      <c r="C8" t="s">
        <v>13</v>
      </c>
      <c r="D8" s="1"/>
      <c r="E8" s="1"/>
      <c r="F8" s="1"/>
      <c r="G8" s="15"/>
      <c r="H8" s="15"/>
      <c r="I8" s="15"/>
    </row>
    <row r="9" spans="1:9" x14ac:dyDescent="0.3">
      <c r="A9" s="1"/>
      <c r="B9" s="1"/>
      <c r="D9" s="1"/>
      <c r="E9" s="1"/>
      <c r="F9" s="1"/>
      <c r="G9" s="15"/>
      <c r="H9" s="15"/>
      <c r="I9" s="15"/>
    </row>
    <row r="10" spans="1:9" x14ac:dyDescent="0.3">
      <c r="D10" s="1"/>
      <c r="E10" s="1"/>
      <c r="F10" s="1"/>
      <c r="G10" s="15"/>
      <c r="H10" s="15"/>
      <c r="I10" s="15"/>
    </row>
    <row r="11" spans="1:9" x14ac:dyDescent="0.3">
      <c r="D11" s="1"/>
      <c r="E11" s="1"/>
      <c r="F11" s="1"/>
      <c r="G11" s="15"/>
      <c r="H11" s="15"/>
      <c r="I11" s="15"/>
    </row>
    <row r="12" spans="1:9" x14ac:dyDescent="0.3">
      <c r="D12" s="1"/>
      <c r="E12" s="1"/>
      <c r="F12" s="1"/>
      <c r="G12" s="15"/>
      <c r="H12" s="15"/>
      <c r="I12" s="15"/>
    </row>
    <row r="13" spans="1:9" x14ac:dyDescent="0.3">
      <c r="D13" s="1"/>
      <c r="E13" s="1"/>
      <c r="F13" s="1"/>
      <c r="G13" s="15"/>
      <c r="H13" s="15"/>
      <c r="I13" s="15"/>
    </row>
    <row r="14" spans="1:9" x14ac:dyDescent="0.3">
      <c r="D14" s="1"/>
      <c r="E14" s="1"/>
      <c r="F14" s="1"/>
      <c r="G14" s="15"/>
      <c r="H14" s="15"/>
      <c r="I14" s="15"/>
    </row>
    <row r="15" spans="1:9" x14ac:dyDescent="0.3">
      <c r="D15" s="1"/>
      <c r="E15" s="1"/>
      <c r="F15" s="1"/>
      <c r="G15" s="15"/>
      <c r="H15" s="15"/>
      <c r="I15" s="15"/>
    </row>
    <row r="16" spans="1:9" x14ac:dyDescent="0.3">
      <c r="D16" s="1"/>
      <c r="E16" s="1"/>
      <c r="F16" s="1"/>
      <c r="G16" s="15"/>
      <c r="H16" s="15"/>
      <c r="I16" s="15"/>
    </row>
    <row r="17" spans="4:9" x14ac:dyDescent="0.3">
      <c r="D17" s="1"/>
      <c r="E17" s="1"/>
      <c r="F17" s="1"/>
      <c r="G17" s="15"/>
      <c r="H17" s="15"/>
      <c r="I17" s="15"/>
    </row>
    <row r="18" spans="4:9" x14ac:dyDescent="0.3">
      <c r="G18" s="16"/>
      <c r="H18" s="16"/>
      <c r="I18" s="16"/>
    </row>
    <row r="19" spans="4:9" x14ac:dyDescent="0.3">
      <c r="G19" s="16"/>
      <c r="H19" s="16"/>
      <c r="I19" s="16"/>
    </row>
    <row r="20" spans="4:9" x14ac:dyDescent="0.3">
      <c r="G20" s="16"/>
      <c r="H20" s="16"/>
      <c r="I20" s="16"/>
    </row>
    <row r="21" spans="4:9" x14ac:dyDescent="0.3">
      <c r="G21" s="16"/>
      <c r="H21" s="16"/>
      <c r="I21" s="16"/>
    </row>
    <row r="22" spans="4:9" x14ac:dyDescent="0.3">
      <c r="G22" s="16"/>
      <c r="H22" s="16"/>
      <c r="I22" s="16"/>
    </row>
    <row r="23" spans="4:9" x14ac:dyDescent="0.3">
      <c r="G23" s="16"/>
      <c r="H23" s="16"/>
      <c r="I23" s="16"/>
    </row>
    <row r="24" spans="4:9" x14ac:dyDescent="0.3">
      <c r="G24" s="16"/>
      <c r="H24" s="16"/>
      <c r="I24" s="16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4EBF-6476-4697-B42E-F13F323C227F}">
  <dimension ref="A16:A18"/>
  <sheetViews>
    <sheetView workbookViewId="0">
      <selection activeCell="L30" sqref="L30"/>
    </sheetView>
  </sheetViews>
  <sheetFormatPr baseColWidth="10" defaultRowHeight="14.4" x14ac:dyDescent="0.3"/>
  <sheetData>
    <row r="16" spans="1:1" x14ac:dyDescent="0.3">
      <c r="A16" t="s">
        <v>224</v>
      </c>
    </row>
    <row r="17" spans="1:1" x14ac:dyDescent="0.3">
      <c r="A17" t="s">
        <v>225</v>
      </c>
    </row>
    <row r="18" spans="1:1" x14ac:dyDescent="0.3">
      <c r="A18" t="s">
        <v>226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0728-C9DC-4591-AF21-E6D166BDD19A}">
  <dimension ref="A1:L209"/>
  <sheetViews>
    <sheetView tabSelected="1" workbookViewId="0">
      <selection activeCell="B13" sqref="B13"/>
    </sheetView>
  </sheetViews>
  <sheetFormatPr baseColWidth="10" defaultRowHeight="14.4" x14ac:dyDescent="0.3"/>
  <cols>
    <col min="1" max="1" width="27.6640625" customWidth="1"/>
    <col min="2" max="2" width="54.6640625" customWidth="1"/>
    <col min="7" max="7" width="17.6640625" customWidth="1"/>
    <col min="8" max="8" width="13.88671875" customWidth="1"/>
    <col min="11" max="11" width="18" customWidth="1"/>
    <col min="12" max="12" width="22.5546875" customWidth="1"/>
  </cols>
  <sheetData>
    <row r="1" spans="1:12" ht="19.2" thickBot="1" x14ac:dyDescent="0.35">
      <c r="A1" s="223" t="s">
        <v>33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18"/>
    </row>
    <row r="2" spans="1:12" ht="22.5" customHeight="1" x14ac:dyDescent="0.3">
      <c r="A2" s="19" t="s">
        <v>34</v>
      </c>
      <c r="B2" s="20" t="s">
        <v>35</v>
      </c>
      <c r="C2" s="20"/>
      <c r="D2" s="20"/>
      <c r="E2" s="224" t="s">
        <v>36</v>
      </c>
      <c r="F2" s="226" t="s">
        <v>37</v>
      </c>
      <c r="G2" s="228" t="s">
        <v>38</v>
      </c>
      <c r="H2" s="230" t="s">
        <v>39</v>
      </c>
      <c r="I2" s="231"/>
      <c r="J2" s="232"/>
      <c r="K2" s="228" t="s">
        <v>40</v>
      </c>
      <c r="L2" s="219" t="s">
        <v>41</v>
      </c>
    </row>
    <row r="3" spans="1:12" ht="15" thickBot="1" x14ac:dyDescent="0.35">
      <c r="A3" s="21"/>
      <c r="B3" s="22"/>
      <c r="C3" s="221"/>
      <c r="D3" s="222"/>
      <c r="E3" s="225"/>
      <c r="F3" s="227"/>
      <c r="G3" s="229"/>
      <c r="H3" s="23" t="s">
        <v>42</v>
      </c>
      <c r="I3" s="23" t="s">
        <v>43</v>
      </c>
      <c r="J3" s="23" t="s">
        <v>44</v>
      </c>
      <c r="K3" s="229"/>
      <c r="L3" s="220"/>
    </row>
    <row r="4" spans="1:12" x14ac:dyDescent="0.3">
      <c r="A4" s="24"/>
      <c r="B4" s="25" t="s">
        <v>45</v>
      </c>
      <c r="C4" s="26"/>
      <c r="D4" s="27"/>
      <c r="E4" s="28"/>
      <c r="F4" s="29"/>
      <c r="G4" s="30"/>
      <c r="H4" s="31"/>
      <c r="I4" s="32">
        <f>SUM(I6:I8)</f>
        <v>748067</v>
      </c>
      <c r="J4" s="32">
        <f>SUM(J6:J8)</f>
        <v>2900600</v>
      </c>
      <c r="K4" s="33">
        <f>SUM(K6:K8)</f>
        <v>11827400</v>
      </c>
      <c r="L4" s="33"/>
    </row>
    <row r="5" spans="1:12" x14ac:dyDescent="0.3">
      <c r="A5" s="34">
        <v>232600</v>
      </c>
      <c r="B5" s="35" t="s">
        <v>46</v>
      </c>
      <c r="C5" s="36"/>
      <c r="D5" s="37"/>
      <c r="E5" s="38">
        <v>0.05</v>
      </c>
      <c r="F5" s="39">
        <v>42736</v>
      </c>
      <c r="G5" s="40">
        <v>566850</v>
      </c>
      <c r="H5" s="41">
        <v>85028</v>
      </c>
      <c r="I5" s="42">
        <v>28343</v>
      </c>
      <c r="J5" s="43">
        <f>H5+I5</f>
        <v>113371</v>
      </c>
      <c r="K5" s="44">
        <f>G5-H5-I5</f>
        <v>453479</v>
      </c>
      <c r="L5" s="44"/>
    </row>
    <row r="6" spans="1:12" x14ac:dyDescent="0.3">
      <c r="A6" s="45">
        <v>233900</v>
      </c>
      <c r="B6" s="34" t="s">
        <v>47</v>
      </c>
      <c r="C6" s="34"/>
      <c r="D6" s="34"/>
      <c r="E6" s="38">
        <v>0.05</v>
      </c>
      <c r="F6" s="39">
        <v>42736</v>
      </c>
      <c r="G6" s="40">
        <v>12628000</v>
      </c>
      <c r="H6" s="41">
        <v>1894200</v>
      </c>
      <c r="I6" s="42">
        <v>631400</v>
      </c>
      <c r="J6" s="43">
        <f t="shared" ref="J6:J207" si="0">H6+I6</f>
        <v>2525600</v>
      </c>
      <c r="K6" s="44">
        <f t="shared" ref="K6:K207" si="1">G6-H6-I6</f>
        <v>10102400</v>
      </c>
      <c r="L6" s="44"/>
    </row>
    <row r="7" spans="1:12" x14ac:dyDescent="0.3">
      <c r="A7" s="34">
        <v>233900</v>
      </c>
      <c r="B7" s="34" t="s">
        <v>48</v>
      </c>
      <c r="C7" s="34"/>
      <c r="D7" s="34"/>
      <c r="E7" s="38">
        <v>0.05</v>
      </c>
      <c r="F7" s="39">
        <v>43188</v>
      </c>
      <c r="G7" s="40">
        <v>2000000</v>
      </c>
      <c r="H7" s="41">
        <v>175000</v>
      </c>
      <c r="I7" s="42">
        <v>100000</v>
      </c>
      <c r="J7" s="43">
        <f t="shared" si="0"/>
        <v>275000</v>
      </c>
      <c r="K7" s="44">
        <f t="shared" si="1"/>
        <v>1725000</v>
      </c>
      <c r="L7" s="44"/>
    </row>
    <row r="8" spans="1:12" x14ac:dyDescent="0.3">
      <c r="A8" s="34">
        <v>233900</v>
      </c>
      <c r="B8" s="34" t="s">
        <v>49</v>
      </c>
      <c r="C8" s="34"/>
      <c r="D8" s="34"/>
      <c r="E8" s="38">
        <v>0.05</v>
      </c>
      <c r="F8" s="39">
        <v>43193</v>
      </c>
      <c r="G8" s="40">
        <v>100000</v>
      </c>
      <c r="H8" s="41">
        <v>83333</v>
      </c>
      <c r="I8" s="42">
        <f>+G8-H8</f>
        <v>16667</v>
      </c>
      <c r="J8" s="43">
        <f t="shared" si="0"/>
        <v>100000</v>
      </c>
      <c r="K8" s="44">
        <f t="shared" si="1"/>
        <v>0</v>
      </c>
      <c r="L8" s="44"/>
    </row>
    <row r="9" spans="1:12" ht="15" thickBot="1" x14ac:dyDescent="0.35">
      <c r="A9" s="34">
        <v>233900</v>
      </c>
      <c r="B9" s="233" t="s">
        <v>50</v>
      </c>
      <c r="C9" s="48"/>
      <c r="D9" s="49"/>
      <c r="E9" s="50"/>
      <c r="F9" s="51"/>
      <c r="G9" s="52"/>
      <c r="H9" s="53"/>
      <c r="I9" s="54"/>
      <c r="J9" s="55"/>
      <c r="K9" s="56"/>
      <c r="L9" s="57"/>
    </row>
    <row r="10" spans="1:12" x14ac:dyDescent="0.3">
      <c r="A10" s="58"/>
      <c r="B10" s="59" t="s">
        <v>51</v>
      </c>
      <c r="C10" s="60"/>
      <c r="D10" s="61"/>
      <c r="E10" s="62"/>
      <c r="F10" s="63"/>
      <c r="G10" s="64"/>
      <c r="H10" s="65"/>
      <c r="I10" s="66">
        <f>SUM(I12:I14)</f>
        <v>3067292</v>
      </c>
      <c r="J10" s="66">
        <f>SUM(J12:J14)</f>
        <v>7945204.3200000003</v>
      </c>
      <c r="K10" s="67">
        <f>SUM(K12:K14)</f>
        <v>2948995.68</v>
      </c>
      <c r="L10" s="68"/>
    </row>
    <row r="11" spans="1:12" x14ac:dyDescent="0.3">
      <c r="A11" s="34">
        <v>213000</v>
      </c>
      <c r="B11" s="34" t="s">
        <v>52</v>
      </c>
      <c r="C11" s="34"/>
      <c r="D11" s="34"/>
      <c r="E11" s="69">
        <f>33.33%</f>
        <v>0.33329999999999999</v>
      </c>
      <c r="F11" s="39">
        <v>42736</v>
      </c>
      <c r="G11" s="40">
        <f>150000</f>
        <v>150000</v>
      </c>
      <c r="H11" s="41">
        <v>150000</v>
      </c>
      <c r="I11" s="42"/>
      <c r="J11" s="43">
        <f t="shared" si="0"/>
        <v>150000</v>
      </c>
      <c r="K11" s="44">
        <f>G11-H11-I11</f>
        <v>0</v>
      </c>
      <c r="L11" s="44"/>
    </row>
    <row r="12" spans="1:12" x14ac:dyDescent="0.3">
      <c r="A12" s="70">
        <v>213100</v>
      </c>
      <c r="B12" s="34" t="s">
        <v>53</v>
      </c>
      <c r="C12" s="34"/>
      <c r="D12" s="34"/>
      <c r="E12" s="71">
        <v>0.33329999999999999</v>
      </c>
      <c r="F12" s="39">
        <v>43224</v>
      </c>
      <c r="G12" s="40">
        <v>5100000</v>
      </c>
      <c r="H12" s="72">
        <v>2833050</v>
      </c>
      <c r="I12" s="71">
        <v>1136086</v>
      </c>
      <c r="J12" s="71">
        <f t="shared" si="0"/>
        <v>3969136</v>
      </c>
      <c r="K12" s="44">
        <f t="shared" si="1"/>
        <v>1130864</v>
      </c>
      <c r="L12" s="44"/>
    </row>
    <row r="13" spans="1:12" x14ac:dyDescent="0.3">
      <c r="A13" s="70">
        <v>213100</v>
      </c>
      <c r="B13" s="34" t="s">
        <v>54</v>
      </c>
      <c r="C13" s="34"/>
      <c r="D13" s="34"/>
      <c r="E13" s="71">
        <v>0.33329999999999999</v>
      </c>
      <c r="F13" s="39">
        <v>43356</v>
      </c>
      <c r="G13" s="40">
        <v>3408600</v>
      </c>
      <c r="H13" s="72">
        <v>1514782</v>
      </c>
      <c r="I13" s="71">
        <v>1136086</v>
      </c>
      <c r="J13" s="71">
        <f t="shared" si="0"/>
        <v>2650868</v>
      </c>
      <c r="K13" s="44">
        <f t="shared" si="1"/>
        <v>757732</v>
      </c>
      <c r="L13" s="44"/>
    </row>
    <row r="14" spans="1:12" x14ac:dyDescent="0.3">
      <c r="A14" s="70">
        <v>213100</v>
      </c>
      <c r="B14" s="34" t="s">
        <v>55</v>
      </c>
      <c r="C14" s="34"/>
      <c r="D14" s="34"/>
      <c r="E14" s="71">
        <v>0.33329999999999999</v>
      </c>
      <c r="F14" s="39">
        <v>43586</v>
      </c>
      <c r="G14" s="40">
        <v>2385600</v>
      </c>
      <c r="H14" s="72">
        <v>530080.31999999995</v>
      </c>
      <c r="I14" s="71">
        <v>795120</v>
      </c>
      <c r="J14" s="71">
        <f t="shared" si="0"/>
        <v>1325200.3199999998</v>
      </c>
      <c r="K14" s="44">
        <f t="shared" si="1"/>
        <v>1060399.6800000002</v>
      </c>
      <c r="L14" s="44"/>
    </row>
    <row r="15" spans="1:12" ht="15" thickBot="1" x14ac:dyDescent="0.35">
      <c r="A15" s="46"/>
      <c r="B15" s="34" t="s">
        <v>56</v>
      </c>
      <c r="C15" s="34"/>
      <c r="D15" s="34"/>
      <c r="E15" s="71"/>
      <c r="F15" s="39"/>
      <c r="G15" s="40"/>
      <c r="H15" s="72"/>
      <c r="I15" s="71"/>
      <c r="J15" s="71"/>
      <c r="K15" s="44"/>
      <c r="L15" s="44"/>
    </row>
    <row r="16" spans="1:12" x14ac:dyDescent="0.3">
      <c r="A16" s="58"/>
      <c r="B16" s="59" t="s">
        <v>57</v>
      </c>
      <c r="C16" s="60"/>
      <c r="D16" s="61"/>
      <c r="E16" s="62"/>
      <c r="F16" s="63"/>
      <c r="G16" s="64"/>
      <c r="H16" s="73" t="e">
        <f>SUM(H17:H62)</f>
        <v>#REF!</v>
      </c>
      <c r="I16" s="74" t="e">
        <f>SUM(I17:I62)</f>
        <v>#REF!</v>
      </c>
      <c r="J16" s="74" t="e">
        <f>SUM(J17:J62)</f>
        <v>#REF!</v>
      </c>
      <c r="K16" s="75" t="e">
        <f>SUM(K17:K62)</f>
        <v>#REF!</v>
      </c>
      <c r="L16" s="76"/>
    </row>
    <row r="17" spans="1:12" x14ac:dyDescent="0.3">
      <c r="A17" s="70">
        <v>241116</v>
      </c>
      <c r="B17" s="77" t="s">
        <v>58</v>
      </c>
      <c r="C17" s="77"/>
      <c r="D17" s="77"/>
      <c r="E17" s="78">
        <v>0.1</v>
      </c>
      <c r="F17" s="79">
        <v>42736</v>
      </c>
      <c r="G17" s="40">
        <v>88311130</v>
      </c>
      <c r="H17" s="80">
        <v>21341856</v>
      </c>
      <c r="I17" s="81">
        <v>3679630</v>
      </c>
      <c r="J17" s="82">
        <f t="shared" si="0"/>
        <v>25021486</v>
      </c>
      <c r="K17" s="44">
        <f t="shared" si="1"/>
        <v>63289644</v>
      </c>
      <c r="L17" s="44"/>
    </row>
    <row r="18" spans="1:12" x14ac:dyDescent="0.3">
      <c r="A18" s="34">
        <v>241100</v>
      </c>
      <c r="B18" s="34" t="s">
        <v>59</v>
      </c>
      <c r="C18" s="34"/>
      <c r="D18" s="34"/>
      <c r="E18" s="71">
        <v>0.2</v>
      </c>
      <c r="F18" s="39">
        <v>42736</v>
      </c>
      <c r="G18" s="40">
        <v>36148338</v>
      </c>
      <c r="H18" s="72">
        <v>17471697</v>
      </c>
      <c r="I18" s="71">
        <v>3012362</v>
      </c>
      <c r="J18" s="71">
        <f t="shared" si="0"/>
        <v>20484059</v>
      </c>
      <c r="K18" s="44">
        <f t="shared" si="1"/>
        <v>15664279</v>
      </c>
      <c r="L18" s="44"/>
    </row>
    <row r="19" spans="1:12" x14ac:dyDescent="0.3">
      <c r="A19" s="70">
        <v>241100</v>
      </c>
      <c r="B19" s="34" t="s">
        <v>60</v>
      </c>
      <c r="C19" s="34"/>
      <c r="D19" s="34"/>
      <c r="E19" s="71">
        <v>0.2</v>
      </c>
      <c r="F19" s="39">
        <v>42736</v>
      </c>
      <c r="G19" s="40">
        <v>36048338</v>
      </c>
      <c r="H19" s="72">
        <v>17423363</v>
      </c>
      <c r="I19" s="71">
        <v>3004028</v>
      </c>
      <c r="J19" s="71">
        <f t="shared" si="0"/>
        <v>20427391</v>
      </c>
      <c r="K19" s="44">
        <f t="shared" si="1"/>
        <v>15620947</v>
      </c>
      <c r="L19" s="44"/>
    </row>
    <row r="20" spans="1:12" x14ac:dyDescent="0.3">
      <c r="A20" s="34">
        <v>241100</v>
      </c>
      <c r="B20" s="34" t="s">
        <v>61</v>
      </c>
      <c r="C20" s="34"/>
      <c r="D20" s="34"/>
      <c r="E20" s="71">
        <v>0.2</v>
      </c>
      <c r="F20" s="39">
        <v>42736</v>
      </c>
      <c r="G20" s="40">
        <v>37785400</v>
      </c>
      <c r="H20" s="72">
        <v>18262943</v>
      </c>
      <c r="I20" s="71">
        <v>3148783</v>
      </c>
      <c r="J20" s="71">
        <f t="shared" si="0"/>
        <v>21411726</v>
      </c>
      <c r="K20" s="44">
        <f t="shared" si="1"/>
        <v>16373674</v>
      </c>
      <c r="L20" s="44"/>
    </row>
    <row r="21" spans="1:12" x14ac:dyDescent="0.3">
      <c r="A21" s="70">
        <v>241210</v>
      </c>
      <c r="B21" s="34" t="s">
        <v>62</v>
      </c>
      <c r="C21" s="34"/>
      <c r="D21" s="34"/>
      <c r="E21" s="71">
        <v>0.2</v>
      </c>
      <c r="F21" s="39">
        <v>43251</v>
      </c>
      <c r="G21" s="40">
        <v>58000000</v>
      </c>
      <c r="H21" s="72">
        <v>11600000</v>
      </c>
      <c r="I21" s="71">
        <v>4833333</v>
      </c>
      <c r="J21" s="71">
        <f t="shared" si="0"/>
        <v>16433333</v>
      </c>
      <c r="K21" s="44">
        <f t="shared" si="1"/>
        <v>41566667</v>
      </c>
      <c r="L21" s="44"/>
    </row>
    <row r="22" spans="1:12" x14ac:dyDescent="0.3">
      <c r="A22" s="70">
        <v>241112</v>
      </c>
      <c r="B22" s="34" t="s">
        <v>63</v>
      </c>
      <c r="C22" s="34"/>
      <c r="D22" s="34"/>
      <c r="E22" s="71">
        <v>0.1</v>
      </c>
      <c r="F22" s="39">
        <v>42736</v>
      </c>
      <c r="G22" s="40">
        <v>30835798</v>
      </c>
      <c r="H22" s="72">
        <v>7451985</v>
      </c>
      <c r="I22" s="71">
        <v>1284825</v>
      </c>
      <c r="J22" s="71">
        <f t="shared" si="0"/>
        <v>8736810</v>
      </c>
      <c r="K22" s="44">
        <f t="shared" si="1"/>
        <v>22098988</v>
      </c>
      <c r="L22" s="44"/>
    </row>
    <row r="23" spans="1:12" x14ac:dyDescent="0.3">
      <c r="A23" s="70">
        <v>241113</v>
      </c>
      <c r="B23" s="34" t="s">
        <v>64</v>
      </c>
      <c r="C23" s="34"/>
      <c r="D23" s="34"/>
      <c r="E23" s="71">
        <v>0.1</v>
      </c>
      <c r="F23" s="39">
        <v>42736</v>
      </c>
      <c r="G23" s="40">
        <v>20497833</v>
      </c>
      <c r="H23" s="72">
        <v>4953643</v>
      </c>
      <c r="I23" s="71">
        <v>854076</v>
      </c>
      <c r="J23" s="71">
        <f t="shared" si="0"/>
        <v>5807719</v>
      </c>
      <c r="K23" s="44">
        <f t="shared" si="1"/>
        <v>14690114</v>
      </c>
      <c r="L23" s="44"/>
    </row>
    <row r="24" spans="1:12" x14ac:dyDescent="0.3">
      <c r="A24" s="70">
        <v>241117</v>
      </c>
      <c r="B24" s="34" t="s">
        <v>65</v>
      </c>
      <c r="C24" s="34"/>
      <c r="D24" s="34"/>
      <c r="E24" s="71">
        <v>0.2</v>
      </c>
      <c r="F24" s="39">
        <v>42736</v>
      </c>
      <c r="G24" s="40">
        <v>34948792</v>
      </c>
      <c r="H24" s="72">
        <v>16891916</v>
      </c>
      <c r="I24" s="71">
        <v>2912399</v>
      </c>
      <c r="J24" s="71">
        <f t="shared" si="0"/>
        <v>19804315</v>
      </c>
      <c r="K24" s="44">
        <f t="shared" si="1"/>
        <v>15144477</v>
      </c>
      <c r="L24" s="44"/>
    </row>
    <row r="25" spans="1:12" x14ac:dyDescent="0.3">
      <c r="A25" s="70">
        <v>241115</v>
      </c>
      <c r="B25" s="34" t="s">
        <v>66</v>
      </c>
      <c r="C25" s="34"/>
      <c r="D25" s="34"/>
      <c r="E25" s="71">
        <v>0.1</v>
      </c>
      <c r="F25" s="39">
        <v>42736</v>
      </c>
      <c r="G25" s="40">
        <v>3000000</v>
      </c>
      <c r="H25" s="72">
        <v>714799</v>
      </c>
      <c r="I25" s="71">
        <v>123241</v>
      </c>
      <c r="J25" s="71">
        <f t="shared" si="0"/>
        <v>838040</v>
      </c>
      <c r="K25" s="44">
        <f t="shared" si="1"/>
        <v>2161960</v>
      </c>
      <c r="L25" s="44"/>
    </row>
    <row r="26" spans="1:12" x14ac:dyDescent="0.3">
      <c r="A26" s="83"/>
      <c r="B26" s="34" t="s">
        <v>67</v>
      </c>
      <c r="C26" s="34"/>
      <c r="D26" s="34"/>
      <c r="E26" s="71">
        <v>0.1</v>
      </c>
      <c r="F26" s="39">
        <v>42736</v>
      </c>
      <c r="G26" s="40">
        <v>2000000</v>
      </c>
      <c r="H26" s="72" t="e">
        <f>+[1]!Tableau1[[#This Row],[Colonne9]]*4</f>
        <v>#REF!</v>
      </c>
      <c r="I26" s="71" t="e">
        <f>+[1]!Tableau1[[#This Row],[Colonne7]]*[1]!Tableau1[[#This Row],[Colonne5]]</f>
        <v>#REF!</v>
      </c>
      <c r="J26" s="71" t="e">
        <f>+[1]!Tableau1[[#This Row],[Colonne8]]+I26</f>
        <v>#REF!</v>
      </c>
      <c r="K26" s="44" t="e">
        <f t="shared" si="1"/>
        <v>#REF!</v>
      </c>
      <c r="L26" s="44"/>
    </row>
    <row r="27" spans="1:12" x14ac:dyDescent="0.3">
      <c r="A27" s="83"/>
      <c r="B27" s="34" t="s">
        <v>68</v>
      </c>
      <c r="C27" s="34"/>
      <c r="D27" s="34"/>
      <c r="E27" s="71">
        <v>0.1</v>
      </c>
      <c r="F27" s="39">
        <v>42736</v>
      </c>
      <c r="G27" s="40">
        <v>5000000</v>
      </c>
      <c r="H27" s="72" t="e">
        <f>+[1]!Tableau1[[#This Row],[Colonne9]]*4</f>
        <v>#REF!</v>
      </c>
      <c r="I27" s="71" t="e">
        <f>+[1]!Tableau1[[#This Row],[Colonne7]]*[1]!Tableau1[[#This Row],[Colonne5]]</f>
        <v>#REF!</v>
      </c>
      <c r="J27" s="71" t="e">
        <f>+[1]!Tableau1[[#This Row],[Colonne8]]+I27</f>
        <v>#REF!</v>
      </c>
      <c r="K27" s="44" t="e">
        <f t="shared" si="1"/>
        <v>#REF!</v>
      </c>
      <c r="L27" s="44"/>
    </row>
    <row r="28" spans="1:12" x14ac:dyDescent="0.3">
      <c r="A28" s="83"/>
      <c r="B28" s="34" t="s">
        <v>69</v>
      </c>
      <c r="C28" s="34"/>
      <c r="D28" s="34"/>
      <c r="E28" s="71">
        <v>0.1</v>
      </c>
      <c r="F28" s="39">
        <v>42736</v>
      </c>
      <c r="G28" s="40">
        <v>3000000</v>
      </c>
      <c r="H28" s="72" t="e">
        <f>+[1]!Tableau1[[#This Row],[Colonne9]]*4</f>
        <v>#REF!</v>
      </c>
      <c r="I28" s="71" t="e">
        <f>+[1]!Tableau1[[#This Row],[Colonne7]]*[1]!Tableau1[[#This Row],[Colonne5]]</f>
        <v>#REF!</v>
      </c>
      <c r="J28" s="71" t="e">
        <f>+[1]!Tableau1[[#This Row],[Colonne8]]+I28</f>
        <v>#REF!</v>
      </c>
      <c r="K28" s="44" t="e">
        <f t="shared" si="1"/>
        <v>#REF!</v>
      </c>
      <c r="L28" s="44"/>
    </row>
    <row r="29" spans="1:12" x14ac:dyDescent="0.3">
      <c r="A29" s="83"/>
      <c r="B29" s="84" t="s">
        <v>70</v>
      </c>
      <c r="C29" s="85"/>
      <c r="D29" s="86"/>
      <c r="E29" s="87"/>
      <c r="F29" s="39"/>
      <c r="G29" s="88"/>
      <c r="H29" s="89"/>
      <c r="I29" s="90"/>
      <c r="J29" s="91"/>
      <c r="K29" s="44"/>
      <c r="L29" s="92"/>
    </row>
    <row r="30" spans="1:12" x14ac:dyDescent="0.3">
      <c r="A30" s="70">
        <v>241114</v>
      </c>
      <c r="B30" s="34" t="s">
        <v>71</v>
      </c>
      <c r="C30" s="34"/>
      <c r="D30" s="34"/>
      <c r="E30" s="71">
        <v>0.1</v>
      </c>
      <c r="F30" s="39">
        <v>42736</v>
      </c>
      <c r="G30" s="40">
        <v>5792909</v>
      </c>
      <c r="H30" s="72">
        <v>1399953</v>
      </c>
      <c r="I30" s="71">
        <v>241371</v>
      </c>
      <c r="J30" s="71">
        <f t="shared" si="0"/>
        <v>1641324</v>
      </c>
      <c r="K30" s="44">
        <f t="shared" si="1"/>
        <v>4151585</v>
      </c>
      <c r="L30" s="44"/>
    </row>
    <row r="31" spans="1:12" x14ac:dyDescent="0.3">
      <c r="A31" s="70">
        <v>241101</v>
      </c>
      <c r="B31" s="34" t="s">
        <v>72</v>
      </c>
      <c r="C31" s="34"/>
      <c r="D31" s="34"/>
      <c r="E31" s="71">
        <v>0.2</v>
      </c>
      <c r="F31" s="39">
        <v>42736</v>
      </c>
      <c r="G31" s="40">
        <v>9248732</v>
      </c>
      <c r="H31" s="72">
        <v>3545347</v>
      </c>
      <c r="I31" s="71">
        <v>770728</v>
      </c>
      <c r="J31" s="71">
        <f t="shared" si="0"/>
        <v>4316075</v>
      </c>
      <c r="K31" s="44">
        <f t="shared" si="1"/>
        <v>4932657</v>
      </c>
      <c r="L31" s="44"/>
    </row>
    <row r="32" spans="1:12" x14ac:dyDescent="0.3">
      <c r="A32" s="70">
        <v>241102</v>
      </c>
      <c r="B32" s="34" t="s">
        <v>73</v>
      </c>
      <c r="C32" s="34"/>
      <c r="D32" s="34"/>
      <c r="E32" s="71">
        <v>0.2</v>
      </c>
      <c r="F32" s="39">
        <v>42736</v>
      </c>
      <c r="G32" s="40">
        <v>9248733</v>
      </c>
      <c r="H32" s="72">
        <v>3545348</v>
      </c>
      <c r="I32" s="71">
        <v>770728</v>
      </c>
      <c r="J32" s="71">
        <f t="shared" si="0"/>
        <v>4316076</v>
      </c>
      <c r="K32" s="44">
        <f t="shared" si="1"/>
        <v>4932657</v>
      </c>
      <c r="L32" s="44"/>
    </row>
    <row r="33" spans="1:12" x14ac:dyDescent="0.3">
      <c r="A33" s="70">
        <v>241103</v>
      </c>
      <c r="B33" s="34" t="s">
        <v>74</v>
      </c>
      <c r="C33" s="34"/>
      <c r="D33" s="34"/>
      <c r="E33" s="71">
        <v>0.2</v>
      </c>
      <c r="F33" s="39">
        <v>42736</v>
      </c>
      <c r="G33" s="40">
        <v>9248732</v>
      </c>
      <c r="H33" s="72">
        <v>3545347</v>
      </c>
      <c r="I33" s="71">
        <v>770728</v>
      </c>
      <c r="J33" s="71">
        <f t="shared" si="0"/>
        <v>4316075</v>
      </c>
      <c r="K33" s="44">
        <f t="shared" si="1"/>
        <v>4932657</v>
      </c>
      <c r="L33" s="44"/>
    </row>
    <row r="34" spans="1:12" x14ac:dyDescent="0.3">
      <c r="A34" s="70">
        <v>241104</v>
      </c>
      <c r="B34" s="34" t="s">
        <v>75</v>
      </c>
      <c r="C34" s="34"/>
      <c r="D34" s="34"/>
      <c r="E34" s="71">
        <v>0.2</v>
      </c>
      <c r="F34" s="39">
        <v>42736</v>
      </c>
      <c r="G34" s="40">
        <v>9248732</v>
      </c>
      <c r="H34" s="72">
        <v>3545347</v>
      </c>
      <c r="I34" s="71">
        <v>770728</v>
      </c>
      <c r="J34" s="71">
        <f t="shared" si="0"/>
        <v>4316075</v>
      </c>
      <c r="K34" s="44">
        <f t="shared" si="1"/>
        <v>4932657</v>
      </c>
      <c r="L34" s="44"/>
    </row>
    <row r="35" spans="1:12" x14ac:dyDescent="0.3">
      <c r="A35" s="70">
        <v>241105</v>
      </c>
      <c r="B35" s="34" t="s">
        <v>76</v>
      </c>
      <c r="C35" s="34"/>
      <c r="D35" s="34"/>
      <c r="E35" s="71">
        <v>0.2</v>
      </c>
      <c r="F35" s="39">
        <v>42736</v>
      </c>
      <c r="G35" s="40">
        <v>9248732</v>
      </c>
      <c r="H35" s="72">
        <v>3545347</v>
      </c>
      <c r="I35" s="71">
        <v>770728</v>
      </c>
      <c r="J35" s="71">
        <f t="shared" si="0"/>
        <v>4316075</v>
      </c>
      <c r="K35" s="44">
        <f t="shared" si="1"/>
        <v>4932657</v>
      </c>
      <c r="L35" s="44"/>
    </row>
    <row r="36" spans="1:12" x14ac:dyDescent="0.3">
      <c r="A36" s="70">
        <v>241106</v>
      </c>
      <c r="B36" s="34" t="s">
        <v>77</v>
      </c>
      <c r="C36" s="34"/>
      <c r="D36" s="34"/>
      <c r="E36" s="71">
        <v>0.2</v>
      </c>
      <c r="F36" s="39">
        <v>42736</v>
      </c>
      <c r="G36" s="40">
        <v>9248732</v>
      </c>
      <c r="H36" s="72">
        <v>3545347</v>
      </c>
      <c r="I36" s="71">
        <v>770728</v>
      </c>
      <c r="J36" s="71">
        <f t="shared" si="0"/>
        <v>4316075</v>
      </c>
      <c r="K36" s="44">
        <f t="shared" si="1"/>
        <v>4932657</v>
      </c>
      <c r="L36" s="44"/>
    </row>
    <row r="37" spans="1:12" x14ac:dyDescent="0.3">
      <c r="A37" s="70">
        <v>241107</v>
      </c>
      <c r="B37" s="34" t="s">
        <v>78</v>
      </c>
      <c r="C37" s="34"/>
      <c r="D37" s="34"/>
      <c r="E37" s="71">
        <v>0.2</v>
      </c>
      <c r="F37" s="39">
        <v>42736</v>
      </c>
      <c r="G37" s="40">
        <v>10491144</v>
      </c>
      <c r="H37" s="72">
        <v>4021605</v>
      </c>
      <c r="I37" s="71">
        <v>874262</v>
      </c>
      <c r="J37" s="71">
        <f t="shared" si="0"/>
        <v>4895867</v>
      </c>
      <c r="K37" s="44">
        <f t="shared" si="1"/>
        <v>5595277</v>
      </c>
      <c r="L37" s="44"/>
    </row>
    <row r="38" spans="1:12" x14ac:dyDescent="0.3">
      <c r="A38" s="70">
        <v>241108</v>
      </c>
      <c r="B38" s="34" t="s">
        <v>79</v>
      </c>
      <c r="C38" s="34"/>
      <c r="D38" s="34"/>
      <c r="E38" s="71">
        <v>0.2</v>
      </c>
      <c r="F38" s="39">
        <v>42736</v>
      </c>
      <c r="G38" s="40">
        <v>10491144</v>
      </c>
      <c r="H38" s="72">
        <v>4021605</v>
      </c>
      <c r="I38" s="71">
        <v>874262</v>
      </c>
      <c r="J38" s="71">
        <f t="shared" si="0"/>
        <v>4895867</v>
      </c>
      <c r="K38" s="44">
        <f t="shared" si="1"/>
        <v>5595277</v>
      </c>
      <c r="L38" s="44"/>
    </row>
    <row r="39" spans="1:12" x14ac:dyDescent="0.3">
      <c r="A39" s="70"/>
      <c r="B39" s="34" t="s">
        <v>80</v>
      </c>
      <c r="C39" s="34"/>
      <c r="D39" s="34"/>
      <c r="E39" s="71">
        <v>0.2</v>
      </c>
      <c r="F39" s="39">
        <v>42766</v>
      </c>
      <c r="G39" s="40">
        <v>188932606</v>
      </c>
      <c r="H39" s="72">
        <v>72424166</v>
      </c>
      <c r="I39" s="71">
        <v>15744384</v>
      </c>
      <c r="J39" s="71">
        <f>H39+I39</f>
        <v>88168550</v>
      </c>
      <c r="K39" s="44">
        <f t="shared" si="1"/>
        <v>100764056</v>
      </c>
      <c r="L39" s="44"/>
    </row>
    <row r="40" spans="1:12" x14ac:dyDescent="0.3">
      <c r="A40" s="70">
        <v>241100</v>
      </c>
      <c r="B40" s="34" t="s">
        <v>81</v>
      </c>
      <c r="C40" s="34"/>
      <c r="D40" s="34"/>
      <c r="E40" s="71">
        <v>0.2</v>
      </c>
      <c r="F40" s="39">
        <v>42766</v>
      </c>
      <c r="G40" s="40">
        <v>81926078</v>
      </c>
      <c r="H40" s="72">
        <v>31404997</v>
      </c>
      <c r="I40" s="71">
        <v>6827173</v>
      </c>
      <c r="J40" s="71">
        <f t="shared" ref="J40:J81" si="2">H40+I40</f>
        <v>38232170</v>
      </c>
      <c r="K40" s="44">
        <f t="shared" si="1"/>
        <v>43693908</v>
      </c>
      <c r="L40" s="44"/>
    </row>
    <row r="41" spans="1:12" x14ac:dyDescent="0.3">
      <c r="A41" s="70"/>
      <c r="B41" s="34" t="s">
        <v>82</v>
      </c>
      <c r="C41" s="34"/>
      <c r="D41" s="34"/>
      <c r="E41" s="71">
        <v>0.2</v>
      </c>
      <c r="F41" s="39">
        <v>42767</v>
      </c>
      <c r="G41" s="40">
        <v>10250616</v>
      </c>
      <c r="H41" s="72">
        <v>4954464</v>
      </c>
      <c r="I41" s="71">
        <v>854218</v>
      </c>
      <c r="J41" s="71">
        <f t="shared" si="2"/>
        <v>5808682</v>
      </c>
      <c r="K41" s="44">
        <f t="shared" si="1"/>
        <v>4441934</v>
      </c>
      <c r="L41" s="44"/>
    </row>
    <row r="42" spans="1:12" x14ac:dyDescent="0.3">
      <c r="A42" s="70">
        <v>241100</v>
      </c>
      <c r="B42" s="93" t="s">
        <v>83</v>
      </c>
      <c r="C42" s="94"/>
      <c r="D42" s="95"/>
      <c r="E42" s="71">
        <v>0.2</v>
      </c>
      <c r="F42" s="96">
        <v>43131</v>
      </c>
      <c r="G42" s="40">
        <v>10600000</v>
      </c>
      <c r="H42" s="97">
        <v>2826667</v>
      </c>
      <c r="I42" s="98">
        <v>883333</v>
      </c>
      <c r="J42" s="99">
        <f t="shared" si="2"/>
        <v>3710000</v>
      </c>
      <c r="K42" s="44">
        <f t="shared" si="1"/>
        <v>6890000</v>
      </c>
      <c r="L42" s="44"/>
    </row>
    <row r="43" spans="1:12" x14ac:dyDescent="0.3">
      <c r="A43" s="70"/>
      <c r="B43" s="34" t="s">
        <v>84</v>
      </c>
      <c r="C43" s="34"/>
      <c r="D43" s="34"/>
      <c r="E43" s="71">
        <v>0.2</v>
      </c>
      <c r="F43" s="39">
        <v>42736</v>
      </c>
      <c r="G43" s="40">
        <v>3267706</v>
      </c>
      <c r="H43" s="72">
        <v>1579391</v>
      </c>
      <c r="I43" s="71">
        <v>854218</v>
      </c>
      <c r="J43" s="71">
        <f t="shared" si="2"/>
        <v>2433609</v>
      </c>
      <c r="K43" s="44">
        <f t="shared" si="1"/>
        <v>834097</v>
      </c>
      <c r="L43" s="44"/>
    </row>
    <row r="44" spans="1:12" x14ac:dyDescent="0.3">
      <c r="A44" s="70">
        <v>241100</v>
      </c>
      <c r="B44" s="34" t="s">
        <v>85</v>
      </c>
      <c r="C44" s="34"/>
      <c r="D44" s="34"/>
      <c r="E44" s="71">
        <v>0.2</v>
      </c>
      <c r="F44" s="39">
        <v>43101</v>
      </c>
      <c r="G44" s="40">
        <v>3408000</v>
      </c>
      <c r="H44" s="72">
        <v>908800</v>
      </c>
      <c r="I44" s="71">
        <v>284000</v>
      </c>
      <c r="J44" s="71">
        <f t="shared" si="2"/>
        <v>1192800</v>
      </c>
      <c r="K44" s="44">
        <f t="shared" si="1"/>
        <v>2215200</v>
      </c>
      <c r="L44" s="44"/>
    </row>
    <row r="45" spans="1:12" x14ac:dyDescent="0.3">
      <c r="A45" s="70">
        <v>2411100</v>
      </c>
      <c r="B45" s="34" t="s">
        <v>86</v>
      </c>
      <c r="C45" s="34"/>
      <c r="D45" s="34"/>
      <c r="E45" s="71">
        <v>0.2</v>
      </c>
      <c r="F45" s="39">
        <v>43307</v>
      </c>
      <c r="G45" s="40">
        <v>11077107</v>
      </c>
      <c r="H45" s="72">
        <v>1846185</v>
      </c>
      <c r="I45" s="71">
        <v>923092</v>
      </c>
      <c r="J45" s="71">
        <f t="shared" si="2"/>
        <v>2769277</v>
      </c>
      <c r="K45" s="44">
        <f t="shared" si="1"/>
        <v>8307830</v>
      </c>
      <c r="L45" s="44"/>
    </row>
    <row r="46" spans="1:12" x14ac:dyDescent="0.3">
      <c r="A46" s="70">
        <v>24121010</v>
      </c>
      <c r="B46" s="34" t="s">
        <v>87</v>
      </c>
      <c r="C46" s="34"/>
      <c r="D46" s="34"/>
      <c r="E46" s="71">
        <v>0.2</v>
      </c>
      <c r="F46" s="39">
        <v>43251</v>
      </c>
      <c r="G46" s="40">
        <v>250000</v>
      </c>
      <c r="H46" s="72">
        <v>50000</v>
      </c>
      <c r="I46" s="71">
        <v>20833</v>
      </c>
      <c r="J46" s="71">
        <f t="shared" si="2"/>
        <v>70833</v>
      </c>
      <c r="K46" s="44">
        <f t="shared" si="1"/>
        <v>179167</v>
      </c>
      <c r="L46" s="44"/>
    </row>
    <row r="47" spans="1:12" x14ac:dyDescent="0.3">
      <c r="A47" s="70">
        <v>24121010</v>
      </c>
      <c r="B47" s="34" t="s">
        <v>88</v>
      </c>
      <c r="C47" s="34"/>
      <c r="D47" s="34"/>
      <c r="E47" s="71">
        <v>0.2</v>
      </c>
      <c r="F47" s="39">
        <v>43312</v>
      </c>
      <c r="G47" s="40">
        <v>2000000</v>
      </c>
      <c r="H47" s="72">
        <v>333333</v>
      </c>
      <c r="I47" s="71">
        <v>166667</v>
      </c>
      <c r="J47" s="71">
        <f t="shared" si="2"/>
        <v>500000</v>
      </c>
      <c r="K47" s="44">
        <f t="shared" si="1"/>
        <v>1500000</v>
      </c>
      <c r="L47" s="44"/>
    </row>
    <row r="48" spans="1:12" x14ac:dyDescent="0.3">
      <c r="A48" s="70">
        <v>24121010</v>
      </c>
      <c r="B48" s="34" t="s">
        <v>89</v>
      </c>
      <c r="C48" s="34"/>
      <c r="D48" s="34"/>
      <c r="E48" s="71">
        <v>0.2</v>
      </c>
      <c r="F48" s="39">
        <v>43342</v>
      </c>
      <c r="G48" s="40">
        <v>175000</v>
      </c>
      <c r="H48" s="72">
        <v>26250</v>
      </c>
      <c r="I48" s="71">
        <v>14583</v>
      </c>
      <c r="J48" s="71">
        <f t="shared" si="2"/>
        <v>40833</v>
      </c>
      <c r="K48" s="44">
        <f t="shared" si="1"/>
        <v>134167</v>
      </c>
      <c r="L48" s="44"/>
    </row>
    <row r="49" spans="1:12" x14ac:dyDescent="0.3">
      <c r="A49" s="70">
        <v>24121010</v>
      </c>
      <c r="B49" s="34" t="s">
        <v>90</v>
      </c>
      <c r="C49" s="34"/>
      <c r="D49" s="34"/>
      <c r="E49" s="71">
        <v>0.2</v>
      </c>
      <c r="F49" s="39">
        <v>43342</v>
      </c>
      <c r="G49" s="40">
        <v>275000</v>
      </c>
      <c r="H49" s="72">
        <v>41250</v>
      </c>
      <c r="I49" s="71">
        <v>13333</v>
      </c>
      <c r="J49" s="71">
        <f t="shared" si="2"/>
        <v>54583</v>
      </c>
      <c r="K49" s="44">
        <f t="shared" si="1"/>
        <v>220417</v>
      </c>
      <c r="L49" s="44"/>
    </row>
    <row r="50" spans="1:12" x14ac:dyDescent="0.3">
      <c r="A50" s="70">
        <v>24121010</v>
      </c>
      <c r="B50" s="34" t="s">
        <v>91</v>
      </c>
      <c r="C50" s="34"/>
      <c r="D50" s="34"/>
      <c r="E50" s="71">
        <v>0.2</v>
      </c>
      <c r="F50" s="39">
        <v>43312</v>
      </c>
      <c r="G50" s="40">
        <v>318311</v>
      </c>
      <c r="H50" s="72">
        <v>53052</v>
      </c>
      <c r="I50" s="71">
        <v>26526</v>
      </c>
      <c r="J50" s="71">
        <f t="shared" si="2"/>
        <v>79578</v>
      </c>
      <c r="K50" s="44">
        <f t="shared" si="1"/>
        <v>238733</v>
      </c>
      <c r="L50" s="44"/>
    </row>
    <row r="51" spans="1:12" x14ac:dyDescent="0.3">
      <c r="A51" s="70">
        <v>2412200</v>
      </c>
      <c r="B51" s="34" t="s">
        <v>92</v>
      </c>
      <c r="C51" s="34"/>
      <c r="D51" s="34"/>
      <c r="E51" s="71">
        <v>0.2</v>
      </c>
      <c r="F51" s="39">
        <v>43172</v>
      </c>
      <c r="G51" s="40">
        <v>1857500</v>
      </c>
      <c r="H51" s="72">
        <v>464375</v>
      </c>
      <c r="I51" s="71">
        <v>154792</v>
      </c>
      <c r="J51" s="71">
        <f t="shared" si="2"/>
        <v>619167</v>
      </c>
      <c r="K51" s="44">
        <f t="shared" si="1"/>
        <v>1238333</v>
      </c>
      <c r="L51" s="44"/>
    </row>
    <row r="52" spans="1:12" x14ac:dyDescent="0.3">
      <c r="A52" s="70">
        <v>2412300</v>
      </c>
      <c r="B52" s="34" t="s">
        <v>93</v>
      </c>
      <c r="C52" s="34"/>
      <c r="D52" s="34"/>
      <c r="E52" s="71">
        <v>0.2</v>
      </c>
      <c r="F52" s="39">
        <v>43165</v>
      </c>
      <c r="G52" s="40">
        <v>750000</v>
      </c>
      <c r="H52" s="72">
        <v>187500</v>
      </c>
      <c r="I52" s="71">
        <v>62500</v>
      </c>
      <c r="J52" s="71">
        <f t="shared" si="2"/>
        <v>250000</v>
      </c>
      <c r="K52" s="44">
        <f t="shared" si="1"/>
        <v>500000</v>
      </c>
      <c r="L52" s="44"/>
    </row>
    <row r="53" spans="1:12" x14ac:dyDescent="0.3">
      <c r="A53" s="70">
        <v>2412300</v>
      </c>
      <c r="B53" s="34" t="s">
        <v>94</v>
      </c>
      <c r="C53" s="34"/>
      <c r="D53" s="34"/>
      <c r="E53" s="71">
        <v>0.2</v>
      </c>
      <c r="F53" s="39">
        <v>43176</v>
      </c>
      <c r="G53" s="40">
        <v>1594897</v>
      </c>
      <c r="H53" s="72">
        <v>372143</v>
      </c>
      <c r="I53" s="71">
        <v>132908</v>
      </c>
      <c r="J53" s="71">
        <f t="shared" si="2"/>
        <v>505051</v>
      </c>
      <c r="K53" s="44">
        <f t="shared" si="1"/>
        <v>1089846</v>
      </c>
      <c r="L53" s="44"/>
    </row>
    <row r="54" spans="1:12" x14ac:dyDescent="0.3">
      <c r="A54" s="70">
        <v>2412400</v>
      </c>
      <c r="B54" s="34" t="s">
        <v>95</v>
      </c>
      <c r="C54" s="34"/>
      <c r="D54" s="34"/>
      <c r="E54" s="71">
        <v>0.1</v>
      </c>
      <c r="F54" s="39">
        <v>43277</v>
      </c>
      <c r="G54" s="40">
        <v>265312461</v>
      </c>
      <c r="H54" s="72">
        <v>24320309</v>
      </c>
      <c r="I54" s="71">
        <v>11054686</v>
      </c>
      <c r="J54" s="71">
        <f t="shared" si="2"/>
        <v>35374995</v>
      </c>
      <c r="K54" s="44">
        <f t="shared" si="1"/>
        <v>229937466</v>
      </c>
      <c r="L54" s="44"/>
    </row>
    <row r="55" spans="1:12" x14ac:dyDescent="0.3">
      <c r="A55" s="70">
        <v>2412100</v>
      </c>
      <c r="B55" s="34" t="s">
        <v>96</v>
      </c>
      <c r="C55" s="34"/>
      <c r="D55" s="34"/>
      <c r="E55" s="71">
        <v>0.2</v>
      </c>
      <c r="F55" s="39">
        <v>43550</v>
      </c>
      <c r="G55" s="40">
        <v>208898</v>
      </c>
      <c r="H55" s="72">
        <v>6963</v>
      </c>
      <c r="I55" s="71">
        <v>41780</v>
      </c>
      <c r="J55" s="71">
        <f t="shared" si="2"/>
        <v>48743</v>
      </c>
      <c r="K55" s="44">
        <f t="shared" si="1"/>
        <v>160155</v>
      </c>
      <c r="L55" s="44"/>
    </row>
    <row r="56" spans="1:12" x14ac:dyDescent="0.3">
      <c r="A56" s="70">
        <v>241100</v>
      </c>
      <c r="B56" s="34" t="s">
        <v>97</v>
      </c>
      <c r="C56" s="34"/>
      <c r="D56" s="34"/>
      <c r="E56" s="71">
        <v>0.2</v>
      </c>
      <c r="F56" s="39">
        <v>43612</v>
      </c>
      <c r="G56" s="40">
        <v>79340544</v>
      </c>
      <c r="H56" s="72">
        <v>7934054</v>
      </c>
      <c r="I56" s="71">
        <v>15868108</v>
      </c>
      <c r="J56" s="71">
        <f>H56+I56</f>
        <v>23802162</v>
      </c>
      <c r="K56" s="44">
        <f t="shared" si="1"/>
        <v>55538382</v>
      </c>
      <c r="L56" s="44"/>
    </row>
    <row r="57" spans="1:12" x14ac:dyDescent="0.3">
      <c r="A57" s="34">
        <v>241100</v>
      </c>
      <c r="B57" s="34" t="s">
        <v>98</v>
      </c>
      <c r="C57" s="34"/>
      <c r="D57" s="34"/>
      <c r="E57" s="71">
        <v>0.1</v>
      </c>
      <c r="F57" s="39">
        <v>42740</v>
      </c>
      <c r="G57" s="40">
        <v>8951107</v>
      </c>
      <c r="H57" s="72">
        <v>2163184</v>
      </c>
      <c r="I57" s="71">
        <v>372963</v>
      </c>
      <c r="J57" s="71">
        <f t="shared" si="2"/>
        <v>2536147</v>
      </c>
      <c r="K57" s="44">
        <f t="shared" si="1"/>
        <v>6414960</v>
      </c>
      <c r="L57" s="44"/>
    </row>
    <row r="58" spans="1:12" x14ac:dyDescent="0.3">
      <c r="A58" s="70">
        <v>241100</v>
      </c>
      <c r="B58" s="34" t="s">
        <v>99</v>
      </c>
      <c r="C58" s="34"/>
      <c r="D58" s="34"/>
      <c r="E58" s="71">
        <v>0.1</v>
      </c>
      <c r="F58" s="39">
        <v>42740</v>
      </c>
      <c r="G58" s="40">
        <v>8438759</v>
      </c>
      <c r="H58" s="72">
        <v>2039367</v>
      </c>
      <c r="I58" s="71">
        <v>351615</v>
      </c>
      <c r="J58" s="71">
        <f t="shared" si="2"/>
        <v>2390982</v>
      </c>
      <c r="K58" s="44">
        <f t="shared" si="1"/>
        <v>6047777</v>
      </c>
      <c r="L58" s="44"/>
    </row>
    <row r="59" spans="1:12" x14ac:dyDescent="0.3">
      <c r="A59" s="34">
        <v>241100</v>
      </c>
      <c r="B59" s="34" t="s">
        <v>100</v>
      </c>
      <c r="C59" s="34"/>
      <c r="D59" s="34"/>
      <c r="E59" s="71">
        <v>0.1</v>
      </c>
      <c r="F59" s="39">
        <v>42740</v>
      </c>
      <c r="G59" s="40">
        <v>8444696</v>
      </c>
      <c r="H59" s="72">
        <v>2040801</v>
      </c>
      <c r="I59" s="71">
        <v>351862</v>
      </c>
      <c r="J59" s="71">
        <f t="shared" si="2"/>
        <v>2392663</v>
      </c>
      <c r="K59" s="44">
        <f t="shared" si="1"/>
        <v>6052033</v>
      </c>
      <c r="L59" s="44"/>
    </row>
    <row r="60" spans="1:12" x14ac:dyDescent="0.3">
      <c r="A60" s="34">
        <v>241100</v>
      </c>
      <c r="B60" s="34" t="s">
        <v>101</v>
      </c>
      <c r="C60" s="34"/>
      <c r="D60" s="34"/>
      <c r="E60" s="71">
        <v>0.1</v>
      </c>
      <c r="F60" s="39">
        <v>42740</v>
      </c>
      <c r="G60" s="40">
        <v>9518000</v>
      </c>
      <c r="H60" s="72">
        <v>2300183</v>
      </c>
      <c r="I60" s="71">
        <v>396583</v>
      </c>
      <c r="J60" s="71">
        <f t="shared" si="2"/>
        <v>2696766</v>
      </c>
      <c r="K60" s="44">
        <f t="shared" si="1"/>
        <v>6821234</v>
      </c>
      <c r="L60" s="44"/>
    </row>
    <row r="61" spans="1:12" x14ac:dyDescent="0.3">
      <c r="A61" s="70">
        <v>241100</v>
      </c>
      <c r="B61" s="34" t="s">
        <v>102</v>
      </c>
      <c r="C61" s="34"/>
      <c r="D61" s="34"/>
      <c r="E61" s="71">
        <v>0.1</v>
      </c>
      <c r="F61" s="39">
        <v>42740</v>
      </c>
      <c r="G61" s="40">
        <v>9423000</v>
      </c>
      <c r="H61" s="72">
        <v>2277225</v>
      </c>
      <c r="I61" s="71">
        <v>392625</v>
      </c>
      <c r="J61" s="71">
        <f t="shared" si="2"/>
        <v>2669850</v>
      </c>
      <c r="K61" s="44">
        <f t="shared" si="1"/>
        <v>6753150</v>
      </c>
      <c r="L61" s="44"/>
    </row>
    <row r="62" spans="1:12" x14ac:dyDescent="0.3">
      <c r="A62" s="70">
        <v>241100</v>
      </c>
      <c r="B62" s="34" t="s">
        <v>103</v>
      </c>
      <c r="C62" s="34"/>
      <c r="D62" s="34"/>
      <c r="E62" s="71">
        <v>0.1</v>
      </c>
      <c r="F62" s="39">
        <v>42740</v>
      </c>
      <c r="G62" s="40">
        <v>8624237</v>
      </c>
      <c r="H62" s="72">
        <v>2084190</v>
      </c>
      <c r="I62" s="71">
        <v>359343</v>
      </c>
      <c r="J62" s="71">
        <f t="shared" si="2"/>
        <v>2443533</v>
      </c>
      <c r="K62" s="44">
        <f t="shared" si="1"/>
        <v>6180704</v>
      </c>
      <c r="L62" s="44"/>
    </row>
    <row r="63" spans="1:12" x14ac:dyDescent="0.3">
      <c r="A63" s="70">
        <v>241100</v>
      </c>
      <c r="B63" s="34" t="s">
        <v>104</v>
      </c>
      <c r="C63" s="34"/>
      <c r="D63" s="34"/>
      <c r="E63" s="71">
        <v>0.1</v>
      </c>
      <c r="F63" s="39">
        <v>42740</v>
      </c>
      <c r="G63" s="40">
        <v>9892321</v>
      </c>
      <c r="H63" s="72">
        <v>2390644</v>
      </c>
      <c r="I63" s="71">
        <v>421180</v>
      </c>
      <c r="J63" s="71">
        <f t="shared" si="2"/>
        <v>2811824</v>
      </c>
      <c r="K63" s="44">
        <f t="shared" si="1"/>
        <v>7080497</v>
      </c>
      <c r="L63" s="44"/>
    </row>
    <row r="64" spans="1:12" ht="15" thickBot="1" x14ac:dyDescent="0.35">
      <c r="A64" s="46"/>
      <c r="B64" s="100" t="s">
        <v>105</v>
      </c>
      <c r="C64" s="101"/>
      <c r="D64" s="102"/>
      <c r="E64" s="71"/>
      <c r="F64" s="103"/>
      <c r="G64" s="104"/>
      <c r="H64" s="105"/>
      <c r="I64" s="106"/>
      <c r="J64" s="107"/>
      <c r="K64" s="108"/>
      <c r="L64" s="108"/>
    </row>
    <row r="65" spans="1:12" x14ac:dyDescent="0.3">
      <c r="A65" s="58"/>
      <c r="B65" s="59" t="s">
        <v>106</v>
      </c>
      <c r="C65" s="60"/>
      <c r="D65" s="61"/>
      <c r="E65" s="62"/>
      <c r="F65" s="109"/>
      <c r="G65" s="110"/>
      <c r="H65" s="111">
        <f t="shared" ref="H65:K65" si="3">SUM(H66:H115)</f>
        <v>2471039</v>
      </c>
      <c r="I65" s="112">
        <f t="shared" si="3"/>
        <v>1400008</v>
      </c>
      <c r="J65" s="112">
        <f t="shared" si="3"/>
        <v>3871047</v>
      </c>
      <c r="K65" s="113">
        <f t="shared" si="3"/>
        <v>7366337</v>
      </c>
      <c r="L65" s="114"/>
    </row>
    <row r="66" spans="1:12" x14ac:dyDescent="0.3">
      <c r="A66" s="70"/>
      <c r="B66" s="34" t="s">
        <v>107</v>
      </c>
      <c r="C66" s="34"/>
      <c r="D66" s="34"/>
      <c r="E66" s="71">
        <v>0.1</v>
      </c>
      <c r="F66" s="39">
        <v>42736</v>
      </c>
      <c r="G66" s="40">
        <v>112100</v>
      </c>
      <c r="H66" s="72">
        <v>33630</v>
      </c>
      <c r="I66" s="71">
        <v>11210</v>
      </c>
      <c r="J66" s="71">
        <f t="shared" si="2"/>
        <v>44840</v>
      </c>
      <c r="K66" s="44">
        <f t="shared" si="1"/>
        <v>67260</v>
      </c>
      <c r="L66" s="44"/>
    </row>
    <row r="67" spans="1:12" x14ac:dyDescent="0.3">
      <c r="A67" s="70"/>
      <c r="B67" s="34" t="s">
        <v>108</v>
      </c>
      <c r="C67" s="34"/>
      <c r="D67" s="34"/>
      <c r="E67" s="71">
        <v>0.1</v>
      </c>
      <c r="F67" s="39">
        <v>42736</v>
      </c>
      <c r="G67" s="40">
        <v>35400</v>
      </c>
      <c r="H67" s="72">
        <v>10620</v>
      </c>
      <c r="I67" s="71">
        <v>3540</v>
      </c>
      <c r="J67" s="71">
        <f t="shared" si="2"/>
        <v>14160</v>
      </c>
      <c r="K67" s="44">
        <f t="shared" si="1"/>
        <v>21240</v>
      </c>
      <c r="L67" s="44"/>
    </row>
    <row r="68" spans="1:12" x14ac:dyDescent="0.3">
      <c r="A68" s="70"/>
      <c r="B68" s="34" t="s">
        <v>109</v>
      </c>
      <c r="C68" s="34"/>
      <c r="D68" s="34"/>
      <c r="E68" s="71">
        <v>0.1</v>
      </c>
      <c r="F68" s="39">
        <v>42736</v>
      </c>
      <c r="G68" s="40">
        <v>35400</v>
      </c>
      <c r="H68" s="72">
        <v>10620</v>
      </c>
      <c r="I68" s="71">
        <v>3540</v>
      </c>
      <c r="J68" s="71">
        <f t="shared" si="2"/>
        <v>14160</v>
      </c>
      <c r="K68" s="44">
        <f t="shared" si="1"/>
        <v>21240</v>
      </c>
      <c r="L68" s="44"/>
    </row>
    <row r="69" spans="1:12" x14ac:dyDescent="0.3">
      <c r="A69" s="70"/>
      <c r="B69" s="34" t="s">
        <v>110</v>
      </c>
      <c r="C69" s="34"/>
      <c r="D69" s="34"/>
      <c r="E69" s="71">
        <v>0.1</v>
      </c>
      <c r="F69" s="39">
        <v>42737</v>
      </c>
      <c r="G69" s="40">
        <v>106200</v>
      </c>
      <c r="H69" s="72">
        <v>10620</v>
      </c>
      <c r="I69" s="71">
        <v>10620</v>
      </c>
      <c r="J69" s="71">
        <f t="shared" si="2"/>
        <v>21240</v>
      </c>
      <c r="K69" s="44">
        <f t="shared" si="1"/>
        <v>84960</v>
      </c>
      <c r="L69" s="71"/>
    </row>
    <row r="70" spans="1:12" x14ac:dyDescent="0.3">
      <c r="A70" s="70"/>
      <c r="B70" s="34" t="s">
        <v>111</v>
      </c>
      <c r="C70" s="34"/>
      <c r="D70" s="34"/>
      <c r="E70" s="71">
        <v>0.1</v>
      </c>
      <c r="F70" s="39">
        <v>42738</v>
      </c>
      <c r="G70" s="40">
        <v>259600</v>
      </c>
      <c r="H70" s="72">
        <v>77880</v>
      </c>
      <c r="I70" s="71">
        <v>25960</v>
      </c>
      <c r="J70" s="71">
        <f t="shared" si="2"/>
        <v>103840</v>
      </c>
      <c r="K70" s="44">
        <f t="shared" si="1"/>
        <v>155760</v>
      </c>
      <c r="L70" s="71"/>
    </row>
    <row r="71" spans="1:12" x14ac:dyDescent="0.3">
      <c r="A71" s="70"/>
      <c r="B71" s="34" t="s">
        <v>112</v>
      </c>
      <c r="C71" s="34"/>
      <c r="D71" s="34"/>
      <c r="E71" s="71">
        <v>0.1</v>
      </c>
      <c r="F71" s="39">
        <v>42739</v>
      </c>
      <c r="G71" s="40">
        <v>88500</v>
      </c>
      <c r="H71" s="72">
        <v>26550</v>
      </c>
      <c r="I71" s="71">
        <v>8850</v>
      </c>
      <c r="J71" s="71">
        <f t="shared" si="2"/>
        <v>35400</v>
      </c>
      <c r="K71" s="44">
        <f t="shared" si="1"/>
        <v>53100</v>
      </c>
      <c r="L71" s="71"/>
    </row>
    <row r="72" spans="1:12" x14ac:dyDescent="0.3">
      <c r="A72" s="70"/>
      <c r="B72" s="34" t="s">
        <v>113</v>
      </c>
      <c r="C72" s="34"/>
      <c r="D72" s="34"/>
      <c r="E72" s="71">
        <v>0.1</v>
      </c>
      <c r="F72" s="39">
        <v>42740</v>
      </c>
      <c r="G72" s="40">
        <v>277300</v>
      </c>
      <c r="H72" s="72">
        <v>83190</v>
      </c>
      <c r="I72" s="71">
        <v>27730</v>
      </c>
      <c r="J72" s="71">
        <f>H72+I72</f>
        <v>110920</v>
      </c>
      <c r="K72" s="44">
        <f t="shared" si="1"/>
        <v>166380</v>
      </c>
      <c r="L72" s="71"/>
    </row>
    <row r="73" spans="1:12" x14ac:dyDescent="0.3">
      <c r="A73" s="70"/>
      <c r="B73" s="34" t="s">
        <v>114</v>
      </c>
      <c r="C73" s="34"/>
      <c r="D73" s="34"/>
      <c r="E73" s="71">
        <v>0.1</v>
      </c>
      <c r="F73" s="39">
        <v>42741</v>
      </c>
      <c r="G73" s="40">
        <v>41300</v>
      </c>
      <c r="H73" s="72">
        <v>12390</v>
      </c>
      <c r="I73" s="71">
        <v>4130</v>
      </c>
      <c r="J73" s="71">
        <f t="shared" ref="J73:J80" si="4">H73+I73</f>
        <v>16520</v>
      </c>
      <c r="K73" s="44">
        <f t="shared" si="1"/>
        <v>24780</v>
      </c>
      <c r="L73" s="71"/>
    </row>
    <row r="74" spans="1:12" x14ac:dyDescent="0.3">
      <c r="A74" s="70"/>
      <c r="B74" s="34" t="s">
        <v>115</v>
      </c>
      <c r="C74" s="34"/>
      <c r="D74" s="34"/>
      <c r="E74" s="71">
        <v>0.1</v>
      </c>
      <c r="F74" s="39">
        <v>42742</v>
      </c>
      <c r="G74" s="40">
        <v>41300</v>
      </c>
      <c r="H74" s="72">
        <v>12390</v>
      </c>
      <c r="I74" s="71">
        <v>4130</v>
      </c>
      <c r="J74" s="71">
        <f t="shared" si="4"/>
        <v>16520</v>
      </c>
      <c r="K74" s="44">
        <f t="shared" si="1"/>
        <v>24780</v>
      </c>
      <c r="L74" s="71"/>
    </row>
    <row r="75" spans="1:12" x14ac:dyDescent="0.3">
      <c r="A75" s="70"/>
      <c r="B75" s="34" t="s">
        <v>116</v>
      </c>
      <c r="C75" s="34"/>
      <c r="D75" s="34"/>
      <c r="E75" s="71">
        <v>0.1</v>
      </c>
      <c r="F75" s="39">
        <v>42743</v>
      </c>
      <c r="G75" s="40">
        <v>70000</v>
      </c>
      <c r="H75" s="72">
        <v>21000</v>
      </c>
      <c r="I75" s="71">
        <v>7000</v>
      </c>
      <c r="J75" s="71">
        <f t="shared" si="4"/>
        <v>28000</v>
      </c>
      <c r="K75" s="44">
        <f t="shared" si="1"/>
        <v>42000</v>
      </c>
      <c r="L75" s="71"/>
    </row>
    <row r="76" spans="1:12" x14ac:dyDescent="0.3">
      <c r="A76" s="70"/>
      <c r="B76" s="34" t="s">
        <v>117</v>
      </c>
      <c r="C76" s="34"/>
      <c r="D76" s="34"/>
      <c r="E76" s="71">
        <v>0.1</v>
      </c>
      <c r="F76" s="39">
        <v>42744</v>
      </c>
      <c r="G76" s="40">
        <v>200000</v>
      </c>
      <c r="H76" s="72">
        <v>60000</v>
      </c>
      <c r="I76" s="71">
        <v>20000</v>
      </c>
      <c r="J76" s="71">
        <f t="shared" si="4"/>
        <v>80000</v>
      </c>
      <c r="K76" s="44">
        <f t="shared" si="1"/>
        <v>120000</v>
      </c>
      <c r="L76" s="71"/>
    </row>
    <row r="77" spans="1:12" x14ac:dyDescent="0.3">
      <c r="A77" s="70">
        <v>244500</v>
      </c>
      <c r="B77" s="34" t="s">
        <v>118</v>
      </c>
      <c r="C77" s="34"/>
      <c r="D77" s="34"/>
      <c r="E77" s="71">
        <v>0.1</v>
      </c>
      <c r="F77" s="39">
        <v>42745</v>
      </c>
      <c r="G77" s="40">
        <v>2548381</v>
      </c>
      <c r="H77" s="72">
        <v>764514</v>
      </c>
      <c r="I77" s="71">
        <v>254838</v>
      </c>
      <c r="J77" s="71">
        <f t="shared" si="4"/>
        <v>1019352</v>
      </c>
      <c r="K77" s="44">
        <f t="shared" si="1"/>
        <v>1529029</v>
      </c>
      <c r="L77" s="71"/>
    </row>
    <row r="78" spans="1:12" x14ac:dyDescent="0.3">
      <c r="A78" s="70"/>
      <c r="B78" s="34" t="s">
        <v>112</v>
      </c>
      <c r="C78" s="34"/>
      <c r="D78" s="34"/>
      <c r="E78" s="71">
        <v>0.1</v>
      </c>
      <c r="F78" s="39">
        <v>42746</v>
      </c>
      <c r="G78" s="40">
        <v>282600</v>
      </c>
      <c r="H78" s="72">
        <v>84780</v>
      </c>
      <c r="I78" s="71">
        <v>28260</v>
      </c>
      <c r="J78" s="71">
        <f t="shared" si="4"/>
        <v>113040</v>
      </c>
      <c r="K78" s="44">
        <f t="shared" si="1"/>
        <v>169560</v>
      </c>
      <c r="L78" s="71"/>
    </row>
    <row r="79" spans="1:12" x14ac:dyDescent="0.3">
      <c r="A79" s="70"/>
      <c r="B79" s="34" t="s">
        <v>119</v>
      </c>
      <c r="C79" s="34"/>
      <c r="D79" s="34"/>
      <c r="E79" s="71">
        <v>0.1</v>
      </c>
      <c r="F79" s="39">
        <v>42747</v>
      </c>
      <c r="G79" s="40">
        <v>359000</v>
      </c>
      <c r="H79" s="72">
        <v>35900</v>
      </c>
      <c r="I79" s="34">
        <v>35900</v>
      </c>
      <c r="J79" s="34">
        <f t="shared" si="4"/>
        <v>71800</v>
      </c>
      <c r="K79" s="115">
        <f t="shared" si="1"/>
        <v>287200</v>
      </c>
      <c r="L79" s="34"/>
    </row>
    <row r="80" spans="1:12" x14ac:dyDescent="0.3">
      <c r="A80" s="70">
        <v>2441000</v>
      </c>
      <c r="B80" s="34" t="s">
        <v>120</v>
      </c>
      <c r="C80" s="34"/>
      <c r="D80" s="34"/>
      <c r="E80" s="71">
        <v>0.1</v>
      </c>
      <c r="F80" s="39">
        <v>42748</v>
      </c>
      <c r="G80" s="40">
        <v>400000</v>
      </c>
      <c r="H80" s="72">
        <v>70000</v>
      </c>
      <c r="I80" s="34">
        <v>40000</v>
      </c>
      <c r="J80" s="34">
        <f t="shared" si="4"/>
        <v>110000</v>
      </c>
      <c r="K80" s="115">
        <f t="shared" si="1"/>
        <v>290000</v>
      </c>
      <c r="L80" s="34"/>
    </row>
    <row r="81" spans="1:12" x14ac:dyDescent="0.3">
      <c r="A81" s="70">
        <v>2441100</v>
      </c>
      <c r="B81" s="116" t="s">
        <v>121</v>
      </c>
      <c r="C81" s="36"/>
      <c r="D81" s="37"/>
      <c r="E81" s="38">
        <v>0.1</v>
      </c>
      <c r="F81" s="39">
        <v>43186</v>
      </c>
      <c r="G81" s="40">
        <v>25813</v>
      </c>
      <c r="H81" s="41">
        <v>25813</v>
      </c>
      <c r="I81" s="42">
        <v>14750</v>
      </c>
      <c r="J81" s="43">
        <f t="shared" si="2"/>
        <v>40563</v>
      </c>
      <c r="K81" s="44">
        <f t="shared" si="1"/>
        <v>-14750</v>
      </c>
      <c r="L81" s="117"/>
    </row>
    <row r="82" spans="1:12" x14ac:dyDescent="0.3">
      <c r="A82" s="70"/>
      <c r="B82" s="35" t="s">
        <v>122</v>
      </c>
      <c r="C82" s="36"/>
      <c r="D82" s="37"/>
      <c r="E82" s="38">
        <v>0.1</v>
      </c>
      <c r="F82" s="39">
        <v>43186</v>
      </c>
      <c r="G82" s="40">
        <v>253700</v>
      </c>
      <c r="H82" s="41">
        <v>44398</v>
      </c>
      <c r="I82" s="42">
        <v>25370</v>
      </c>
      <c r="J82" s="43">
        <f t="shared" si="0"/>
        <v>69768</v>
      </c>
      <c r="K82" s="44">
        <f t="shared" si="1"/>
        <v>183932</v>
      </c>
      <c r="L82" s="117"/>
    </row>
    <row r="83" spans="1:12" x14ac:dyDescent="0.3">
      <c r="A83" s="70"/>
      <c r="B83" s="35" t="s">
        <v>123</v>
      </c>
      <c r="C83" s="36"/>
      <c r="D83" s="37"/>
      <c r="E83" s="38">
        <v>0.1</v>
      </c>
      <c r="F83" s="39">
        <v>43291</v>
      </c>
      <c r="G83" s="40">
        <v>442500</v>
      </c>
      <c r="H83" s="41">
        <v>77438</v>
      </c>
      <c r="I83" s="42">
        <v>44250</v>
      </c>
      <c r="J83" s="43">
        <f t="shared" si="0"/>
        <v>121688</v>
      </c>
      <c r="K83" s="44">
        <f t="shared" si="1"/>
        <v>320812</v>
      </c>
      <c r="L83" s="117"/>
    </row>
    <row r="84" spans="1:12" x14ac:dyDescent="0.3">
      <c r="A84" s="70"/>
      <c r="B84" s="35" t="s">
        <v>124</v>
      </c>
      <c r="C84" s="36"/>
      <c r="D84" s="37"/>
      <c r="E84" s="38">
        <v>0.1</v>
      </c>
      <c r="F84" s="39">
        <v>43192</v>
      </c>
      <c r="G84" s="40">
        <v>500000</v>
      </c>
      <c r="H84" s="41">
        <v>87500</v>
      </c>
      <c r="I84" s="42">
        <v>50000</v>
      </c>
      <c r="J84" s="43">
        <f t="shared" si="0"/>
        <v>137500</v>
      </c>
      <c r="K84" s="44">
        <f t="shared" si="1"/>
        <v>362500</v>
      </c>
      <c r="L84" s="117"/>
    </row>
    <row r="85" spans="1:12" x14ac:dyDescent="0.3">
      <c r="A85" s="70">
        <v>2444100</v>
      </c>
      <c r="B85" s="35" t="s">
        <v>125</v>
      </c>
      <c r="C85" s="36"/>
      <c r="D85" s="37"/>
      <c r="E85" s="38">
        <v>0.1</v>
      </c>
      <c r="F85" s="39">
        <v>43192</v>
      </c>
      <c r="G85" s="40">
        <v>460000</v>
      </c>
      <c r="H85" s="41">
        <v>80500</v>
      </c>
      <c r="I85" s="42">
        <v>46000</v>
      </c>
      <c r="J85" s="43">
        <f t="shared" si="0"/>
        <v>126500</v>
      </c>
      <c r="K85" s="44">
        <f t="shared" si="1"/>
        <v>333500</v>
      </c>
      <c r="L85" s="117"/>
    </row>
    <row r="86" spans="1:12" x14ac:dyDescent="0.3">
      <c r="A86" s="70"/>
      <c r="B86" s="35" t="s">
        <v>126</v>
      </c>
      <c r="C86" s="36"/>
      <c r="D86" s="37"/>
      <c r="E86" s="38">
        <v>0.1</v>
      </c>
      <c r="F86" s="39">
        <v>43192</v>
      </c>
      <c r="G86" s="40">
        <v>501680</v>
      </c>
      <c r="H86" s="41">
        <v>87794</v>
      </c>
      <c r="I86" s="42">
        <v>50168</v>
      </c>
      <c r="J86" s="43">
        <f t="shared" si="0"/>
        <v>137962</v>
      </c>
      <c r="K86" s="44">
        <f t="shared" si="1"/>
        <v>363718</v>
      </c>
      <c r="L86" s="117"/>
    </row>
    <row r="87" spans="1:12" x14ac:dyDescent="0.3">
      <c r="A87" s="70">
        <v>244300</v>
      </c>
      <c r="B87" s="116" t="s">
        <v>127</v>
      </c>
      <c r="C87" s="36"/>
      <c r="D87" s="37"/>
      <c r="E87" s="38">
        <v>0.1</v>
      </c>
      <c r="F87" s="39">
        <v>43192</v>
      </c>
      <c r="G87" s="40">
        <v>280000</v>
      </c>
      <c r="H87" s="41">
        <v>49000</v>
      </c>
      <c r="I87" s="42">
        <v>28000</v>
      </c>
      <c r="J87" s="43">
        <f t="shared" si="0"/>
        <v>77000</v>
      </c>
      <c r="K87" s="44">
        <f t="shared" si="1"/>
        <v>203000</v>
      </c>
      <c r="L87" s="117"/>
    </row>
    <row r="88" spans="1:12" x14ac:dyDescent="0.3">
      <c r="A88" s="70">
        <v>2444300</v>
      </c>
      <c r="B88" s="116" t="s">
        <v>128</v>
      </c>
      <c r="C88" s="36"/>
      <c r="D88" s="37"/>
      <c r="E88" s="38">
        <v>0.1</v>
      </c>
      <c r="F88" s="39">
        <v>43193</v>
      </c>
      <c r="G88" s="40">
        <v>65000</v>
      </c>
      <c r="H88" s="41">
        <v>11375</v>
      </c>
      <c r="I88" s="42">
        <v>6500</v>
      </c>
      <c r="J88" s="43">
        <f t="shared" si="0"/>
        <v>17875</v>
      </c>
      <c r="K88" s="44">
        <f t="shared" si="1"/>
        <v>47125</v>
      </c>
      <c r="L88" s="117"/>
    </row>
    <row r="89" spans="1:12" x14ac:dyDescent="0.3">
      <c r="A89" s="70">
        <v>2444300</v>
      </c>
      <c r="B89" s="116" t="s">
        <v>129</v>
      </c>
      <c r="C89" s="36"/>
      <c r="D89" s="37"/>
      <c r="E89" s="38">
        <v>0.1</v>
      </c>
      <c r="F89" s="39">
        <v>43193</v>
      </c>
      <c r="G89" s="40">
        <v>65000</v>
      </c>
      <c r="H89" s="41">
        <v>11375</v>
      </c>
      <c r="I89" s="42">
        <v>6500</v>
      </c>
      <c r="J89" s="43">
        <f t="shared" si="0"/>
        <v>17875</v>
      </c>
      <c r="K89" s="44">
        <f t="shared" si="1"/>
        <v>47125</v>
      </c>
      <c r="L89" s="117"/>
    </row>
    <row r="90" spans="1:12" x14ac:dyDescent="0.3">
      <c r="A90" s="70">
        <v>2444300</v>
      </c>
      <c r="B90" s="116" t="s">
        <v>130</v>
      </c>
      <c r="C90" s="36"/>
      <c r="D90" s="37"/>
      <c r="E90" s="38">
        <v>0.1</v>
      </c>
      <c r="F90" s="39">
        <v>43193</v>
      </c>
      <c r="G90" s="40">
        <v>65000</v>
      </c>
      <c r="H90" s="41">
        <v>11375</v>
      </c>
      <c r="I90" s="42">
        <v>6500</v>
      </c>
      <c r="J90" s="43">
        <f t="shared" si="0"/>
        <v>17875</v>
      </c>
      <c r="K90" s="44">
        <f t="shared" si="1"/>
        <v>47125</v>
      </c>
      <c r="L90" s="117"/>
    </row>
    <row r="91" spans="1:12" x14ac:dyDescent="0.3">
      <c r="A91" s="70">
        <v>2444300</v>
      </c>
      <c r="B91" s="116" t="s">
        <v>131</v>
      </c>
      <c r="C91" s="36"/>
      <c r="D91" s="37"/>
      <c r="E91" s="38">
        <v>0.1</v>
      </c>
      <c r="F91" s="39">
        <v>43193</v>
      </c>
      <c r="G91" s="40">
        <v>65000</v>
      </c>
      <c r="H91" s="41">
        <v>11375</v>
      </c>
      <c r="I91" s="42">
        <v>6500</v>
      </c>
      <c r="J91" s="43">
        <f t="shared" si="0"/>
        <v>17875</v>
      </c>
      <c r="K91" s="44">
        <f t="shared" si="1"/>
        <v>47125</v>
      </c>
      <c r="L91" s="117"/>
    </row>
    <row r="92" spans="1:12" x14ac:dyDescent="0.3">
      <c r="A92" s="70">
        <v>2444300</v>
      </c>
      <c r="B92" s="116" t="s">
        <v>132</v>
      </c>
      <c r="C92" s="36"/>
      <c r="D92" s="37"/>
      <c r="E92" s="38">
        <v>0.1</v>
      </c>
      <c r="F92" s="39">
        <v>43193</v>
      </c>
      <c r="G92" s="40">
        <v>65000</v>
      </c>
      <c r="H92" s="41">
        <v>11375</v>
      </c>
      <c r="I92" s="42">
        <v>6500</v>
      </c>
      <c r="J92" s="43">
        <f t="shared" si="0"/>
        <v>17875</v>
      </c>
      <c r="K92" s="44">
        <f t="shared" si="1"/>
        <v>47125</v>
      </c>
      <c r="L92" s="117"/>
    </row>
    <row r="93" spans="1:12" x14ac:dyDescent="0.3">
      <c r="A93" s="70">
        <v>2444300</v>
      </c>
      <c r="B93" s="116" t="s">
        <v>133</v>
      </c>
      <c r="C93" s="36"/>
      <c r="D93" s="37"/>
      <c r="E93" s="38">
        <v>0.1</v>
      </c>
      <c r="F93" s="39">
        <v>43193</v>
      </c>
      <c r="G93" s="40">
        <v>65000</v>
      </c>
      <c r="H93" s="41">
        <v>11375</v>
      </c>
      <c r="I93" s="42">
        <v>6500</v>
      </c>
      <c r="J93" s="43">
        <f t="shared" si="0"/>
        <v>17875</v>
      </c>
      <c r="K93" s="44">
        <f t="shared" si="1"/>
        <v>47125</v>
      </c>
      <c r="L93" s="117"/>
    </row>
    <row r="94" spans="1:12" x14ac:dyDescent="0.3">
      <c r="A94" s="70">
        <v>2444300</v>
      </c>
      <c r="B94" s="116" t="s">
        <v>134</v>
      </c>
      <c r="C94" s="36"/>
      <c r="D94" s="37"/>
      <c r="E94" s="38">
        <v>0.1</v>
      </c>
      <c r="F94" s="39">
        <v>43193</v>
      </c>
      <c r="G94" s="40">
        <v>65000</v>
      </c>
      <c r="H94" s="41">
        <v>11375</v>
      </c>
      <c r="I94" s="42">
        <v>6500</v>
      </c>
      <c r="J94" s="43">
        <f t="shared" si="0"/>
        <v>17875</v>
      </c>
      <c r="K94" s="44">
        <f t="shared" si="1"/>
        <v>47125</v>
      </c>
      <c r="L94" s="117"/>
    </row>
    <row r="95" spans="1:12" x14ac:dyDescent="0.3">
      <c r="A95" s="70">
        <v>2444300</v>
      </c>
      <c r="B95" s="116" t="s">
        <v>135</v>
      </c>
      <c r="C95" s="36"/>
      <c r="D95" s="37"/>
      <c r="E95" s="38">
        <v>0.1</v>
      </c>
      <c r="F95" s="39">
        <v>43193</v>
      </c>
      <c r="G95" s="40">
        <v>65000</v>
      </c>
      <c r="H95" s="41">
        <v>11375</v>
      </c>
      <c r="I95" s="42">
        <v>6500</v>
      </c>
      <c r="J95" s="43">
        <f t="shared" si="0"/>
        <v>17875</v>
      </c>
      <c r="K95" s="44">
        <f t="shared" si="1"/>
        <v>47125</v>
      </c>
      <c r="L95" s="117"/>
    </row>
    <row r="96" spans="1:12" x14ac:dyDescent="0.3">
      <c r="A96" s="70">
        <v>2444300</v>
      </c>
      <c r="B96" s="116" t="s">
        <v>136</v>
      </c>
      <c r="C96" s="36"/>
      <c r="D96" s="37"/>
      <c r="E96" s="38">
        <v>0.1</v>
      </c>
      <c r="F96" s="39">
        <v>43193</v>
      </c>
      <c r="G96" s="40">
        <v>65000</v>
      </c>
      <c r="H96" s="41">
        <v>11375</v>
      </c>
      <c r="I96" s="42">
        <v>6500</v>
      </c>
      <c r="J96" s="43">
        <f t="shared" si="0"/>
        <v>17875</v>
      </c>
      <c r="K96" s="44">
        <f t="shared" si="1"/>
        <v>47125</v>
      </c>
      <c r="L96" s="117"/>
    </row>
    <row r="97" spans="1:12" x14ac:dyDescent="0.3">
      <c r="A97" s="70">
        <v>2444300</v>
      </c>
      <c r="B97" s="116" t="s">
        <v>137</v>
      </c>
      <c r="C97" s="36"/>
      <c r="D97" s="37"/>
      <c r="E97" s="38">
        <v>0.1</v>
      </c>
      <c r="F97" s="39">
        <v>43193</v>
      </c>
      <c r="G97" s="40">
        <v>65000</v>
      </c>
      <c r="H97" s="41">
        <v>11375</v>
      </c>
      <c r="I97" s="42">
        <v>6500</v>
      </c>
      <c r="J97" s="43">
        <f t="shared" si="0"/>
        <v>17875</v>
      </c>
      <c r="K97" s="44">
        <f t="shared" si="1"/>
        <v>47125</v>
      </c>
      <c r="L97" s="117"/>
    </row>
    <row r="98" spans="1:12" x14ac:dyDescent="0.3">
      <c r="A98" s="70">
        <v>2444300</v>
      </c>
      <c r="B98" s="72" t="s">
        <v>138</v>
      </c>
      <c r="C98" s="36"/>
      <c r="D98" s="37"/>
      <c r="E98" s="38">
        <v>0.1</v>
      </c>
      <c r="F98" s="39">
        <v>43540</v>
      </c>
      <c r="G98" s="40">
        <v>69300</v>
      </c>
      <c r="H98" s="41">
        <v>5198</v>
      </c>
      <c r="I98" s="42">
        <v>5198</v>
      </c>
      <c r="J98" s="43">
        <f t="shared" si="0"/>
        <v>10396</v>
      </c>
      <c r="K98" s="44">
        <f t="shared" si="1"/>
        <v>58904</v>
      </c>
      <c r="L98" s="117"/>
    </row>
    <row r="99" spans="1:12" x14ac:dyDescent="0.3">
      <c r="A99" s="70">
        <v>2444300</v>
      </c>
      <c r="B99" s="116" t="s">
        <v>139</v>
      </c>
      <c r="C99" s="36"/>
      <c r="D99" s="37"/>
      <c r="E99" s="38">
        <v>0.1</v>
      </c>
      <c r="F99" s="39">
        <v>43540</v>
      </c>
      <c r="G99" s="40">
        <v>121500</v>
      </c>
      <c r="H99" s="41">
        <v>9113</v>
      </c>
      <c r="I99" s="42">
        <v>9113</v>
      </c>
      <c r="J99" s="43">
        <f t="shared" si="0"/>
        <v>18226</v>
      </c>
      <c r="K99" s="44">
        <f t="shared" si="1"/>
        <v>103274</v>
      </c>
      <c r="L99" s="117"/>
    </row>
    <row r="100" spans="1:12" x14ac:dyDescent="0.3">
      <c r="A100" s="70">
        <v>2444300</v>
      </c>
      <c r="B100" s="116" t="s">
        <v>140</v>
      </c>
      <c r="C100" s="36"/>
      <c r="D100" s="37"/>
      <c r="E100" s="38">
        <v>0.1</v>
      </c>
      <c r="F100" s="39">
        <v>43540</v>
      </c>
      <c r="G100" s="40">
        <v>138600</v>
      </c>
      <c r="H100" s="41">
        <v>10395</v>
      </c>
      <c r="I100" s="42">
        <v>10395</v>
      </c>
      <c r="J100" s="43">
        <f t="shared" si="0"/>
        <v>20790</v>
      </c>
      <c r="K100" s="44">
        <f t="shared" si="1"/>
        <v>117810</v>
      </c>
      <c r="L100" s="117"/>
    </row>
    <row r="101" spans="1:12" x14ac:dyDescent="0.3">
      <c r="A101" s="70">
        <v>2444300</v>
      </c>
      <c r="B101" s="116" t="s">
        <v>141</v>
      </c>
      <c r="C101" s="36"/>
      <c r="D101" s="37"/>
      <c r="E101" s="38">
        <v>0.1</v>
      </c>
      <c r="F101" s="39">
        <v>43540</v>
      </c>
      <c r="G101" s="40">
        <v>52200</v>
      </c>
      <c r="H101" s="41">
        <v>36515</v>
      </c>
      <c r="I101" s="42">
        <v>36515</v>
      </c>
      <c r="J101" s="43">
        <f t="shared" si="0"/>
        <v>73030</v>
      </c>
      <c r="K101" s="44">
        <f t="shared" si="1"/>
        <v>-20830</v>
      </c>
      <c r="L101" s="117"/>
    </row>
    <row r="102" spans="1:12" x14ac:dyDescent="0.3">
      <c r="A102" s="70">
        <v>2444400</v>
      </c>
      <c r="B102" s="116" t="s">
        <v>142</v>
      </c>
      <c r="C102" s="36"/>
      <c r="D102" s="37"/>
      <c r="E102" s="38">
        <v>0.1</v>
      </c>
      <c r="F102" s="39">
        <v>43168</v>
      </c>
      <c r="G102" s="40">
        <v>199170</v>
      </c>
      <c r="H102" s="41">
        <v>36515</v>
      </c>
      <c r="I102" s="42">
        <v>36515</v>
      </c>
      <c r="J102" s="43">
        <f t="shared" si="0"/>
        <v>73030</v>
      </c>
      <c r="K102" s="44">
        <f t="shared" si="1"/>
        <v>126140</v>
      </c>
      <c r="L102" s="117"/>
    </row>
    <row r="103" spans="1:12" x14ac:dyDescent="0.3">
      <c r="A103" s="70">
        <v>2444000</v>
      </c>
      <c r="B103" s="116" t="s">
        <v>142</v>
      </c>
      <c r="C103" s="36"/>
      <c r="D103" s="37"/>
      <c r="E103" s="38">
        <v>0.1</v>
      </c>
      <c r="F103" s="39">
        <v>43168</v>
      </c>
      <c r="G103" s="40">
        <v>199170</v>
      </c>
      <c r="H103" s="41">
        <v>36515</v>
      </c>
      <c r="I103" s="42">
        <v>36515</v>
      </c>
      <c r="J103" s="43">
        <f t="shared" si="0"/>
        <v>73030</v>
      </c>
      <c r="K103" s="44">
        <f t="shared" si="1"/>
        <v>126140</v>
      </c>
      <c r="L103" s="117"/>
    </row>
    <row r="104" spans="1:12" x14ac:dyDescent="0.3">
      <c r="A104" s="70">
        <v>2444000</v>
      </c>
      <c r="B104" s="116" t="s">
        <v>142</v>
      </c>
      <c r="C104" s="36"/>
      <c r="D104" s="37"/>
      <c r="E104" s="38">
        <v>0.1</v>
      </c>
      <c r="F104" s="39">
        <v>43168</v>
      </c>
      <c r="G104" s="40">
        <v>199170</v>
      </c>
      <c r="H104" s="41">
        <v>36515</v>
      </c>
      <c r="I104" s="42">
        <v>36515</v>
      </c>
      <c r="J104" s="43">
        <f t="shared" si="0"/>
        <v>73030</v>
      </c>
      <c r="K104" s="44">
        <f t="shared" si="1"/>
        <v>126140</v>
      </c>
      <c r="L104" s="117"/>
    </row>
    <row r="105" spans="1:12" x14ac:dyDescent="0.3">
      <c r="A105" s="70">
        <v>2444000</v>
      </c>
      <c r="B105" s="116" t="s">
        <v>142</v>
      </c>
      <c r="C105" s="36"/>
      <c r="D105" s="37"/>
      <c r="E105" s="38">
        <v>0.1</v>
      </c>
      <c r="F105" s="39">
        <v>43168</v>
      </c>
      <c r="G105" s="40">
        <v>199170</v>
      </c>
      <c r="H105" s="41">
        <v>36515</v>
      </c>
      <c r="I105" s="42">
        <v>36515</v>
      </c>
      <c r="J105" s="43">
        <f t="shared" si="0"/>
        <v>73030</v>
      </c>
      <c r="K105" s="44">
        <f t="shared" si="1"/>
        <v>126140</v>
      </c>
      <c r="L105" s="117"/>
    </row>
    <row r="106" spans="1:12" x14ac:dyDescent="0.3">
      <c r="A106" s="70">
        <v>2444000</v>
      </c>
      <c r="B106" s="116" t="s">
        <v>143</v>
      </c>
      <c r="C106" s="36"/>
      <c r="D106" s="37"/>
      <c r="E106" s="38">
        <v>0.1</v>
      </c>
      <c r="F106" s="39">
        <v>43168</v>
      </c>
      <c r="G106" s="40">
        <v>296640</v>
      </c>
      <c r="H106" s="41">
        <v>54384</v>
      </c>
      <c r="I106" s="42">
        <v>54384</v>
      </c>
      <c r="J106" s="43">
        <f t="shared" si="0"/>
        <v>108768</v>
      </c>
      <c r="K106" s="44">
        <f t="shared" si="1"/>
        <v>187872</v>
      </c>
      <c r="L106" s="117"/>
    </row>
    <row r="107" spans="1:12" x14ac:dyDescent="0.3">
      <c r="A107" s="70">
        <v>2444000</v>
      </c>
      <c r="B107" s="35" t="s">
        <v>144</v>
      </c>
      <c r="C107" s="36"/>
      <c r="D107" s="37"/>
      <c r="E107" s="38">
        <v>0.1</v>
      </c>
      <c r="F107" s="39">
        <v>43168</v>
      </c>
      <c r="G107" s="40">
        <v>296640</v>
      </c>
      <c r="H107" s="41">
        <v>54384</v>
      </c>
      <c r="I107" s="42">
        <v>54384</v>
      </c>
      <c r="J107" s="43">
        <f t="shared" si="0"/>
        <v>108768</v>
      </c>
      <c r="K107" s="44">
        <f t="shared" si="1"/>
        <v>187872</v>
      </c>
      <c r="L107" s="117"/>
    </row>
    <row r="108" spans="1:12" x14ac:dyDescent="0.3">
      <c r="A108" s="70">
        <v>2444000</v>
      </c>
      <c r="B108" s="35" t="s">
        <v>145</v>
      </c>
      <c r="C108" s="36"/>
      <c r="D108" s="37"/>
      <c r="E108" s="38">
        <v>0.1</v>
      </c>
      <c r="F108" s="39">
        <v>43168</v>
      </c>
      <c r="G108" s="40">
        <v>584800</v>
      </c>
      <c r="H108" s="41">
        <v>107213</v>
      </c>
      <c r="I108" s="42">
        <v>107213</v>
      </c>
      <c r="J108" s="43">
        <f t="shared" si="0"/>
        <v>214426</v>
      </c>
      <c r="K108" s="44">
        <f t="shared" si="1"/>
        <v>370374</v>
      </c>
      <c r="L108" s="117"/>
    </row>
    <row r="109" spans="1:12" x14ac:dyDescent="0.3">
      <c r="A109" s="70">
        <v>2444000</v>
      </c>
      <c r="B109" s="35" t="s">
        <v>145</v>
      </c>
      <c r="C109" s="36"/>
      <c r="D109" s="37"/>
      <c r="E109" s="38">
        <v>0.1</v>
      </c>
      <c r="F109" s="39">
        <v>43168</v>
      </c>
      <c r="G109" s="40">
        <v>457670</v>
      </c>
      <c r="H109" s="41">
        <v>83906</v>
      </c>
      <c r="I109" s="42">
        <v>83906</v>
      </c>
      <c r="J109" s="43">
        <f t="shared" si="0"/>
        <v>167812</v>
      </c>
      <c r="K109" s="44">
        <f t="shared" si="1"/>
        <v>289858</v>
      </c>
      <c r="L109" s="117"/>
    </row>
    <row r="110" spans="1:12" x14ac:dyDescent="0.3">
      <c r="A110" s="70">
        <v>2444300</v>
      </c>
      <c r="B110" s="35" t="s">
        <v>127</v>
      </c>
      <c r="C110" s="36"/>
      <c r="D110" s="37"/>
      <c r="E110" s="38">
        <v>0.1</v>
      </c>
      <c r="F110" s="39">
        <v>43168</v>
      </c>
      <c r="G110" s="40">
        <v>97465</v>
      </c>
      <c r="H110" s="41">
        <v>17869</v>
      </c>
      <c r="I110" s="42">
        <v>17869</v>
      </c>
      <c r="J110" s="43">
        <f t="shared" si="0"/>
        <v>35738</v>
      </c>
      <c r="K110" s="44">
        <f t="shared" si="1"/>
        <v>61727</v>
      </c>
      <c r="L110" s="117"/>
    </row>
    <row r="111" spans="1:12" x14ac:dyDescent="0.3">
      <c r="A111" s="70">
        <v>2444300</v>
      </c>
      <c r="B111" s="35" t="s">
        <v>127</v>
      </c>
      <c r="C111" s="36"/>
      <c r="D111" s="37"/>
      <c r="E111" s="38">
        <v>0.1</v>
      </c>
      <c r="F111" s="39">
        <v>43168</v>
      </c>
      <c r="G111" s="40">
        <v>97465</v>
      </c>
      <c r="H111" s="41">
        <v>17869</v>
      </c>
      <c r="I111" s="42">
        <v>17869</v>
      </c>
      <c r="J111" s="43">
        <f t="shared" si="0"/>
        <v>35738</v>
      </c>
      <c r="K111" s="44">
        <f t="shared" si="1"/>
        <v>61727</v>
      </c>
      <c r="L111" s="117"/>
    </row>
    <row r="112" spans="1:12" x14ac:dyDescent="0.3">
      <c r="A112" s="70">
        <v>2444300</v>
      </c>
      <c r="B112" s="35" t="s">
        <v>146</v>
      </c>
      <c r="C112" s="36"/>
      <c r="D112" s="37"/>
      <c r="E112" s="38">
        <v>0.1</v>
      </c>
      <c r="F112" s="39">
        <v>43168</v>
      </c>
      <c r="G112" s="40">
        <v>65260</v>
      </c>
      <c r="H112" s="41">
        <v>11964</v>
      </c>
      <c r="I112" s="42">
        <v>11964</v>
      </c>
      <c r="J112" s="43">
        <f t="shared" si="0"/>
        <v>23928</v>
      </c>
      <c r="K112" s="44">
        <f t="shared" si="1"/>
        <v>41332</v>
      </c>
      <c r="L112" s="117"/>
    </row>
    <row r="113" spans="1:12" x14ac:dyDescent="0.3">
      <c r="A113" s="70">
        <v>2444300</v>
      </c>
      <c r="B113" s="35" t="s">
        <v>146</v>
      </c>
      <c r="C113" s="36"/>
      <c r="D113" s="37"/>
      <c r="E113" s="38">
        <v>0.1</v>
      </c>
      <c r="F113" s="39">
        <v>43168</v>
      </c>
      <c r="G113" s="40">
        <v>65260</v>
      </c>
      <c r="H113" s="41">
        <v>11964</v>
      </c>
      <c r="I113" s="42">
        <v>11964</v>
      </c>
      <c r="J113" s="43">
        <f t="shared" si="0"/>
        <v>23928</v>
      </c>
      <c r="K113" s="44">
        <f t="shared" si="1"/>
        <v>41332</v>
      </c>
      <c r="L113" s="117"/>
    </row>
    <row r="114" spans="1:12" x14ac:dyDescent="0.3">
      <c r="A114" s="70">
        <v>2444300</v>
      </c>
      <c r="B114" s="35" t="s">
        <v>147</v>
      </c>
      <c r="C114" s="36"/>
      <c r="D114" s="37"/>
      <c r="E114" s="38">
        <v>0.1</v>
      </c>
      <c r="F114" s="39">
        <v>43168</v>
      </c>
      <c r="G114" s="40">
        <v>63565</v>
      </c>
      <c r="H114" s="41">
        <v>11964</v>
      </c>
      <c r="I114" s="42">
        <v>11964</v>
      </c>
      <c r="J114" s="43">
        <f t="shared" si="0"/>
        <v>23928</v>
      </c>
      <c r="K114" s="44">
        <f t="shared" si="1"/>
        <v>39637</v>
      </c>
      <c r="L114" s="117"/>
    </row>
    <row r="115" spans="1:12" x14ac:dyDescent="0.3">
      <c r="A115" s="70">
        <v>2444300</v>
      </c>
      <c r="B115" s="35" t="s">
        <v>147</v>
      </c>
      <c r="C115" s="36"/>
      <c r="D115" s="37"/>
      <c r="E115" s="38">
        <v>0.1</v>
      </c>
      <c r="F115" s="39">
        <v>43168</v>
      </c>
      <c r="G115" s="40">
        <v>63565</v>
      </c>
      <c r="H115" s="41">
        <v>11964</v>
      </c>
      <c r="I115" s="42">
        <v>11964</v>
      </c>
      <c r="J115" s="43">
        <f t="shared" si="0"/>
        <v>23928</v>
      </c>
      <c r="K115" s="44">
        <f t="shared" si="1"/>
        <v>39637</v>
      </c>
      <c r="L115" s="117"/>
    </row>
    <row r="116" spans="1:12" ht="15" thickBot="1" x14ac:dyDescent="0.35">
      <c r="A116" s="46"/>
      <c r="B116" s="47" t="s">
        <v>148</v>
      </c>
      <c r="C116" s="118"/>
      <c r="D116" s="118"/>
      <c r="E116" s="48"/>
      <c r="F116" s="119"/>
      <c r="G116" s="120"/>
      <c r="H116" s="121"/>
      <c r="I116" s="49"/>
      <c r="J116" s="122"/>
      <c r="K116" s="123"/>
      <c r="L116" s="108"/>
    </row>
    <row r="117" spans="1:12" x14ac:dyDescent="0.3">
      <c r="A117" s="58"/>
      <c r="B117" s="59" t="s">
        <v>149</v>
      </c>
      <c r="C117" s="60"/>
      <c r="D117" s="61"/>
      <c r="E117" s="62"/>
      <c r="F117" s="109"/>
      <c r="G117" s="110"/>
      <c r="H117" s="111">
        <f>SUM(H118:H131)</f>
        <v>1472580</v>
      </c>
      <c r="I117" s="112">
        <f t="shared" ref="I117:J117" si="5">SUM(I118:I131)</f>
        <v>851246</v>
      </c>
      <c r="J117" s="112">
        <f t="shared" si="5"/>
        <v>2323826</v>
      </c>
      <c r="K117" s="113">
        <f>SUM(K118:K131)</f>
        <v>5562334</v>
      </c>
      <c r="L117" s="114"/>
    </row>
    <row r="118" spans="1:12" x14ac:dyDescent="0.3">
      <c r="A118" s="70">
        <v>235800</v>
      </c>
      <c r="B118" s="35" t="s">
        <v>150</v>
      </c>
      <c r="C118" s="36"/>
      <c r="D118" s="37"/>
      <c r="E118" s="38">
        <v>0.1</v>
      </c>
      <c r="F118" s="39">
        <v>42736</v>
      </c>
      <c r="G118" s="40">
        <v>1444000</v>
      </c>
      <c r="H118" s="41">
        <v>433200</v>
      </c>
      <c r="I118" s="42">
        <v>144400</v>
      </c>
      <c r="J118" s="43">
        <f t="shared" si="0"/>
        <v>577600</v>
      </c>
      <c r="K118" s="44">
        <f t="shared" si="1"/>
        <v>866400</v>
      </c>
      <c r="L118" s="117"/>
    </row>
    <row r="119" spans="1:12" x14ac:dyDescent="0.3">
      <c r="A119" s="70">
        <v>234600</v>
      </c>
      <c r="B119" s="35" t="s">
        <v>151</v>
      </c>
      <c r="C119" s="36"/>
      <c r="D119" s="37"/>
      <c r="E119" s="38">
        <v>0.1</v>
      </c>
      <c r="F119" s="39">
        <v>43188</v>
      </c>
      <c r="G119" s="40">
        <v>410000</v>
      </c>
      <c r="H119" s="41">
        <v>71750</v>
      </c>
      <c r="I119" s="42">
        <v>41000</v>
      </c>
      <c r="J119" s="43">
        <f t="shared" si="0"/>
        <v>112750</v>
      </c>
      <c r="K119" s="44">
        <f t="shared" si="1"/>
        <v>297250</v>
      </c>
      <c r="L119" s="117"/>
    </row>
    <row r="120" spans="1:12" x14ac:dyDescent="0.3">
      <c r="A120" s="70">
        <v>234600</v>
      </c>
      <c r="B120" s="35" t="s">
        <v>152</v>
      </c>
      <c r="C120" s="36"/>
      <c r="D120" s="37"/>
      <c r="E120" s="38">
        <v>0.33</v>
      </c>
      <c r="F120" s="39">
        <v>43690</v>
      </c>
      <c r="G120" s="40">
        <v>350000</v>
      </c>
      <c r="H120" s="41">
        <v>165261</v>
      </c>
      <c r="I120" s="42">
        <v>116655</v>
      </c>
      <c r="J120" s="43">
        <f t="shared" si="0"/>
        <v>281916</v>
      </c>
      <c r="K120" s="44">
        <f t="shared" si="1"/>
        <v>68084</v>
      </c>
      <c r="L120" s="117"/>
    </row>
    <row r="121" spans="1:12" x14ac:dyDescent="0.3">
      <c r="A121" s="70">
        <v>234600</v>
      </c>
      <c r="B121" s="35" t="s">
        <v>153</v>
      </c>
      <c r="C121" s="36"/>
      <c r="D121" s="37"/>
      <c r="E121" s="38">
        <v>0.33</v>
      </c>
      <c r="F121" s="39">
        <v>43547</v>
      </c>
      <c r="G121" s="40">
        <v>400000</v>
      </c>
      <c r="H121" s="41">
        <v>99990</v>
      </c>
      <c r="I121" s="42">
        <v>132000</v>
      </c>
      <c r="J121" s="43">
        <f t="shared" si="0"/>
        <v>231990</v>
      </c>
      <c r="K121" s="44">
        <f t="shared" si="1"/>
        <v>168010</v>
      </c>
      <c r="L121" s="117"/>
    </row>
    <row r="122" spans="1:12" x14ac:dyDescent="0.3">
      <c r="A122" s="70">
        <v>2381100</v>
      </c>
      <c r="B122" s="35" t="s">
        <v>154</v>
      </c>
      <c r="C122" s="36"/>
      <c r="D122" s="37"/>
      <c r="E122" s="38">
        <v>0.1</v>
      </c>
      <c r="F122" s="39">
        <v>43185</v>
      </c>
      <c r="G122" s="40">
        <v>241000</v>
      </c>
      <c r="H122" s="41">
        <v>42175</v>
      </c>
      <c r="I122" s="42">
        <v>24100</v>
      </c>
      <c r="J122" s="43">
        <f t="shared" si="0"/>
        <v>66275</v>
      </c>
      <c r="K122" s="44">
        <f t="shared" si="1"/>
        <v>174725</v>
      </c>
      <c r="L122" s="117"/>
    </row>
    <row r="123" spans="1:12" x14ac:dyDescent="0.3">
      <c r="A123" s="70">
        <v>2381400</v>
      </c>
      <c r="B123" s="35" t="s">
        <v>155</v>
      </c>
      <c r="C123" s="36"/>
      <c r="D123" s="37"/>
      <c r="E123" s="38">
        <v>0.1</v>
      </c>
      <c r="F123" s="39">
        <v>43185</v>
      </c>
      <c r="G123" s="40">
        <v>1160000</v>
      </c>
      <c r="H123" s="41">
        <v>203000</v>
      </c>
      <c r="I123" s="42">
        <v>116000</v>
      </c>
      <c r="J123" s="43">
        <f t="shared" si="0"/>
        <v>319000</v>
      </c>
      <c r="K123" s="44">
        <f t="shared" si="1"/>
        <v>841000</v>
      </c>
      <c r="L123" s="117"/>
    </row>
    <row r="124" spans="1:12" x14ac:dyDescent="0.3">
      <c r="A124" s="70">
        <v>2381400</v>
      </c>
      <c r="B124" s="35" t="s">
        <v>155</v>
      </c>
      <c r="C124" s="36"/>
      <c r="D124" s="37"/>
      <c r="E124" s="38">
        <v>0.1</v>
      </c>
      <c r="F124" s="39">
        <v>43246</v>
      </c>
      <c r="G124" s="40">
        <v>100000</v>
      </c>
      <c r="H124" s="41">
        <v>17500</v>
      </c>
      <c r="I124" s="42">
        <v>10000</v>
      </c>
      <c r="J124" s="43">
        <f t="shared" si="0"/>
        <v>27500</v>
      </c>
      <c r="K124" s="44">
        <f t="shared" si="1"/>
        <v>72500</v>
      </c>
      <c r="L124" s="117"/>
    </row>
    <row r="125" spans="1:12" x14ac:dyDescent="0.3">
      <c r="A125" s="70">
        <v>2381400</v>
      </c>
      <c r="B125" s="35" t="s">
        <v>156</v>
      </c>
      <c r="C125" s="36"/>
      <c r="D125" s="37"/>
      <c r="E125" s="38">
        <v>0.1</v>
      </c>
      <c r="F125" s="39">
        <v>43550</v>
      </c>
      <c r="G125" s="40">
        <v>2080000</v>
      </c>
      <c r="H125" s="41">
        <v>329333</v>
      </c>
      <c r="I125" s="42">
        <v>121333</v>
      </c>
      <c r="J125" s="43">
        <f t="shared" si="0"/>
        <v>450666</v>
      </c>
      <c r="K125" s="44">
        <f t="shared" si="1"/>
        <v>1629334</v>
      </c>
      <c r="L125" s="117"/>
    </row>
    <row r="126" spans="1:12" x14ac:dyDescent="0.3">
      <c r="A126" s="70">
        <v>2381100</v>
      </c>
      <c r="B126" s="35" t="s">
        <v>157</v>
      </c>
      <c r="C126" s="36"/>
      <c r="D126" s="37"/>
      <c r="E126" s="38">
        <v>0.1</v>
      </c>
      <c r="F126" s="39">
        <v>43550</v>
      </c>
      <c r="G126" s="40">
        <v>171461</v>
      </c>
      <c r="H126" s="41">
        <v>12680</v>
      </c>
      <c r="I126" s="42">
        <v>12860</v>
      </c>
      <c r="J126" s="43">
        <f t="shared" si="0"/>
        <v>25540</v>
      </c>
      <c r="K126" s="44">
        <f t="shared" si="1"/>
        <v>145921</v>
      </c>
      <c r="L126" s="117"/>
    </row>
    <row r="127" spans="1:12" x14ac:dyDescent="0.3">
      <c r="A127" s="70">
        <v>238500</v>
      </c>
      <c r="B127" s="35" t="s">
        <v>158</v>
      </c>
      <c r="C127" s="36"/>
      <c r="D127" s="37"/>
      <c r="E127" s="38">
        <v>0.1</v>
      </c>
      <c r="F127" s="39">
        <v>43551</v>
      </c>
      <c r="G127" s="40">
        <v>141599</v>
      </c>
      <c r="H127" s="41">
        <v>10620</v>
      </c>
      <c r="I127" s="42">
        <v>14160</v>
      </c>
      <c r="J127" s="43">
        <f t="shared" si="0"/>
        <v>24780</v>
      </c>
      <c r="K127" s="44">
        <f t="shared" si="1"/>
        <v>116819</v>
      </c>
      <c r="L127" s="117"/>
    </row>
    <row r="128" spans="1:12" x14ac:dyDescent="0.3">
      <c r="A128" s="70">
        <v>2381100</v>
      </c>
      <c r="B128" s="35" t="s">
        <v>159</v>
      </c>
      <c r="C128" s="36"/>
      <c r="D128" s="37"/>
      <c r="E128" s="38">
        <v>0.1</v>
      </c>
      <c r="F128" s="39">
        <v>43581</v>
      </c>
      <c r="G128" s="40">
        <v>110000</v>
      </c>
      <c r="H128" s="41">
        <v>7333</v>
      </c>
      <c r="I128" s="42">
        <v>7333</v>
      </c>
      <c r="J128" s="43">
        <f t="shared" si="0"/>
        <v>14666</v>
      </c>
      <c r="K128" s="44">
        <f t="shared" si="1"/>
        <v>95334</v>
      </c>
      <c r="L128" s="117"/>
    </row>
    <row r="129" spans="1:12" x14ac:dyDescent="0.3">
      <c r="A129" s="70">
        <v>2381100</v>
      </c>
      <c r="B129" s="35" t="s">
        <v>160</v>
      </c>
      <c r="C129" s="36"/>
      <c r="D129" s="37"/>
      <c r="E129" s="38">
        <v>0.1</v>
      </c>
      <c r="F129" s="39">
        <v>43611</v>
      </c>
      <c r="G129" s="40">
        <v>500000</v>
      </c>
      <c r="H129" s="41">
        <v>33333</v>
      </c>
      <c r="I129" s="42">
        <v>50000</v>
      </c>
      <c r="J129" s="43">
        <f t="shared" si="0"/>
        <v>83333</v>
      </c>
      <c r="K129" s="44">
        <f t="shared" si="1"/>
        <v>416667</v>
      </c>
      <c r="L129" s="117"/>
    </row>
    <row r="130" spans="1:12" x14ac:dyDescent="0.3">
      <c r="A130" s="70"/>
      <c r="B130" s="35" t="s">
        <v>161</v>
      </c>
      <c r="C130" s="36"/>
      <c r="D130" s="37"/>
      <c r="E130" s="38">
        <v>0.1</v>
      </c>
      <c r="F130" s="39">
        <v>43588</v>
      </c>
      <c r="G130" s="40">
        <v>450000</v>
      </c>
      <c r="H130" s="41">
        <v>30000</v>
      </c>
      <c r="I130" s="42">
        <v>45000</v>
      </c>
      <c r="J130" s="43">
        <f t="shared" si="0"/>
        <v>75000</v>
      </c>
      <c r="K130" s="44">
        <f t="shared" si="1"/>
        <v>375000</v>
      </c>
      <c r="L130" s="117"/>
    </row>
    <row r="131" spans="1:12" x14ac:dyDescent="0.3">
      <c r="A131" s="70"/>
      <c r="B131" s="35" t="s">
        <v>162</v>
      </c>
      <c r="C131" s="36"/>
      <c r="D131" s="37"/>
      <c r="E131" s="38">
        <v>0.1</v>
      </c>
      <c r="F131" s="39">
        <v>43651</v>
      </c>
      <c r="G131" s="40">
        <v>328100</v>
      </c>
      <c r="H131" s="41">
        <v>16405</v>
      </c>
      <c r="I131" s="42">
        <v>16405</v>
      </c>
      <c r="J131" s="43">
        <f t="shared" si="0"/>
        <v>32810</v>
      </c>
      <c r="K131" s="44">
        <f t="shared" si="1"/>
        <v>295290</v>
      </c>
      <c r="L131" s="117"/>
    </row>
    <row r="132" spans="1:12" ht="15" thickBot="1" x14ac:dyDescent="0.35">
      <c r="A132" s="46"/>
      <c r="B132" s="47" t="s">
        <v>163</v>
      </c>
      <c r="C132" s="118"/>
      <c r="D132" s="118"/>
      <c r="E132" s="48"/>
      <c r="F132" s="119"/>
      <c r="G132" s="120"/>
      <c r="H132" s="121"/>
      <c r="I132" s="49"/>
      <c r="J132" s="124"/>
      <c r="K132" s="125"/>
      <c r="L132" s="126"/>
    </row>
    <row r="133" spans="1:12" x14ac:dyDescent="0.3">
      <c r="A133" s="58"/>
      <c r="B133" s="127" t="s">
        <v>164</v>
      </c>
      <c r="C133" s="128"/>
      <c r="D133" s="129"/>
      <c r="E133" s="130"/>
      <c r="F133" s="131"/>
      <c r="G133" s="132"/>
      <c r="H133" s="133">
        <f>SUM(H134:H156)</f>
        <v>6440299</v>
      </c>
      <c r="I133" s="134">
        <f>SUM(I134:I156)</f>
        <v>2738315</v>
      </c>
      <c r="J133" s="134">
        <f t="shared" ref="J133:K133" si="6">SUM(J134:J156)</f>
        <v>9178614</v>
      </c>
      <c r="K133" s="135">
        <f t="shared" si="6"/>
        <v>1600786</v>
      </c>
      <c r="L133" s="136"/>
    </row>
    <row r="134" spans="1:12" x14ac:dyDescent="0.3">
      <c r="A134" s="70">
        <v>244200</v>
      </c>
      <c r="B134" s="35" t="s">
        <v>165</v>
      </c>
      <c r="C134" s="36"/>
      <c r="D134" s="37"/>
      <c r="E134" s="38">
        <v>0.33</v>
      </c>
      <c r="F134" s="39">
        <v>42736</v>
      </c>
      <c r="G134" s="40">
        <v>173000</v>
      </c>
      <c r="H134" s="41">
        <v>173000</v>
      </c>
      <c r="I134" s="42"/>
      <c r="J134" s="43">
        <f t="shared" si="0"/>
        <v>173000</v>
      </c>
      <c r="K134" s="44">
        <f t="shared" si="1"/>
        <v>0</v>
      </c>
      <c r="L134" s="117"/>
    </row>
    <row r="135" spans="1:12" x14ac:dyDescent="0.3">
      <c r="A135" s="70">
        <v>2442000</v>
      </c>
      <c r="B135" s="35" t="s">
        <v>166</v>
      </c>
      <c r="C135" s="36"/>
      <c r="D135" s="37"/>
      <c r="E135" s="38">
        <v>0.33</v>
      </c>
      <c r="F135" s="39">
        <v>42736</v>
      </c>
      <c r="G135" s="40">
        <v>472000</v>
      </c>
      <c r="H135" s="41">
        <v>472000</v>
      </c>
      <c r="I135" s="42"/>
      <c r="J135" s="43">
        <f t="shared" si="0"/>
        <v>472000</v>
      </c>
      <c r="K135" s="44">
        <f t="shared" si="1"/>
        <v>0</v>
      </c>
      <c r="L135" s="117"/>
    </row>
    <row r="136" spans="1:12" x14ac:dyDescent="0.3">
      <c r="A136" s="70">
        <v>2442000</v>
      </c>
      <c r="B136" s="137" t="s">
        <v>119</v>
      </c>
      <c r="C136" s="137"/>
      <c r="D136" s="137"/>
      <c r="E136" s="138">
        <v>0.33</v>
      </c>
      <c r="F136" s="139">
        <v>42736</v>
      </c>
      <c r="G136" s="140">
        <v>135000</v>
      </c>
      <c r="H136" s="141">
        <v>135000</v>
      </c>
      <c r="I136" s="142"/>
      <c r="J136" s="143">
        <f t="shared" si="0"/>
        <v>135000</v>
      </c>
      <c r="K136" s="144">
        <f t="shared" si="1"/>
        <v>0</v>
      </c>
      <c r="L136" s="145"/>
    </row>
    <row r="137" spans="1:12" x14ac:dyDescent="0.3">
      <c r="A137" s="70">
        <v>2442000</v>
      </c>
      <c r="B137" s="35" t="s">
        <v>167</v>
      </c>
      <c r="C137" s="36"/>
      <c r="D137" s="37"/>
      <c r="E137" s="38">
        <v>0.33</v>
      </c>
      <c r="F137" s="39">
        <v>43101</v>
      </c>
      <c r="G137" s="40">
        <v>177000</v>
      </c>
      <c r="H137" s="41">
        <v>177000</v>
      </c>
      <c r="I137" s="42"/>
      <c r="J137" s="43">
        <f>H137+I137</f>
        <v>177000</v>
      </c>
      <c r="K137" s="44">
        <f>G137-H137-I137</f>
        <v>0</v>
      </c>
      <c r="L137" s="117"/>
    </row>
    <row r="138" spans="1:12" x14ac:dyDescent="0.3">
      <c r="A138" s="70">
        <v>2442000</v>
      </c>
      <c r="B138" s="35" t="s">
        <v>168</v>
      </c>
      <c r="C138" s="36"/>
      <c r="D138" s="37"/>
      <c r="E138" s="38">
        <v>0.33</v>
      </c>
      <c r="F138" s="39">
        <v>42736</v>
      </c>
      <c r="G138" s="40">
        <v>188800</v>
      </c>
      <c r="H138" s="41">
        <v>188800</v>
      </c>
      <c r="I138" s="42"/>
      <c r="J138" s="43">
        <f t="shared" si="0"/>
        <v>188800</v>
      </c>
      <c r="K138" s="44">
        <f t="shared" si="1"/>
        <v>0</v>
      </c>
      <c r="L138" s="117"/>
    </row>
    <row r="139" spans="1:12" x14ac:dyDescent="0.3">
      <c r="A139" s="70"/>
      <c r="B139" s="35" t="s">
        <v>169</v>
      </c>
      <c r="C139" s="36"/>
      <c r="D139" s="37"/>
      <c r="E139" s="38">
        <v>0.33</v>
      </c>
      <c r="F139" s="39">
        <v>42736</v>
      </c>
      <c r="G139" s="40">
        <v>206500</v>
      </c>
      <c r="H139" s="41">
        <v>206500</v>
      </c>
      <c r="I139" s="42"/>
      <c r="J139" s="43">
        <f t="shared" si="0"/>
        <v>206500</v>
      </c>
      <c r="K139" s="44">
        <f t="shared" si="1"/>
        <v>0</v>
      </c>
      <c r="L139" s="117"/>
    </row>
    <row r="140" spans="1:12" x14ac:dyDescent="0.3">
      <c r="A140" s="70">
        <v>2442000</v>
      </c>
      <c r="B140" s="35" t="s">
        <v>170</v>
      </c>
      <c r="C140" s="36"/>
      <c r="D140" s="37"/>
      <c r="E140" s="38">
        <v>0.33</v>
      </c>
      <c r="F140" s="39">
        <v>43101</v>
      </c>
      <c r="G140" s="40">
        <v>466100</v>
      </c>
      <c r="H140" s="41">
        <v>466100</v>
      </c>
      <c r="I140" s="42"/>
      <c r="J140" s="43">
        <f t="shared" si="0"/>
        <v>466100</v>
      </c>
      <c r="K140" s="44">
        <f t="shared" si="1"/>
        <v>0</v>
      </c>
      <c r="L140" s="117"/>
    </row>
    <row r="141" spans="1:12" x14ac:dyDescent="0.3">
      <c r="A141" s="70">
        <v>2442000</v>
      </c>
      <c r="B141" s="35" t="s">
        <v>171</v>
      </c>
      <c r="C141" s="36"/>
      <c r="D141" s="37"/>
      <c r="E141" s="38">
        <v>0.33</v>
      </c>
      <c r="F141" s="39">
        <v>42736</v>
      </c>
      <c r="G141" s="40">
        <v>362378</v>
      </c>
      <c r="H141" s="41">
        <v>362378</v>
      </c>
      <c r="I141" s="42"/>
      <c r="J141" s="43">
        <f>H141+I141</f>
        <v>362378</v>
      </c>
      <c r="K141" s="44">
        <f>G141-H141-I141</f>
        <v>0</v>
      </c>
      <c r="L141" s="117"/>
    </row>
    <row r="142" spans="1:12" x14ac:dyDescent="0.3">
      <c r="A142" s="70">
        <v>2442000</v>
      </c>
      <c r="B142" s="37" t="s">
        <v>172</v>
      </c>
      <c r="C142" s="37"/>
      <c r="D142" s="37"/>
      <c r="E142" s="37">
        <v>0.33</v>
      </c>
      <c r="F142" s="39">
        <v>42736</v>
      </c>
      <c r="G142" s="146">
        <v>112100</v>
      </c>
      <c r="H142" s="147">
        <v>112100</v>
      </c>
      <c r="I142" s="37"/>
      <c r="J142" s="37">
        <f t="shared" si="0"/>
        <v>112100</v>
      </c>
      <c r="K142" s="146">
        <f t="shared" si="1"/>
        <v>0</v>
      </c>
      <c r="L142" s="37"/>
    </row>
    <row r="143" spans="1:12" x14ac:dyDescent="0.3">
      <c r="A143" s="70">
        <v>2442000</v>
      </c>
      <c r="B143" s="37" t="s">
        <v>173</v>
      </c>
      <c r="C143" s="37"/>
      <c r="D143" s="37"/>
      <c r="E143" s="37">
        <v>0.33</v>
      </c>
      <c r="F143" s="148">
        <v>42736</v>
      </c>
      <c r="G143" s="146">
        <v>229122</v>
      </c>
      <c r="H143" s="147">
        <v>229122</v>
      </c>
      <c r="I143" s="37"/>
      <c r="J143" s="37">
        <f t="shared" si="0"/>
        <v>229122</v>
      </c>
      <c r="K143" s="146">
        <f t="shared" si="1"/>
        <v>0</v>
      </c>
      <c r="L143" s="37"/>
    </row>
    <row r="144" spans="1:12" x14ac:dyDescent="0.3">
      <c r="A144" s="70">
        <v>2442000</v>
      </c>
      <c r="B144" s="35" t="s">
        <v>174</v>
      </c>
      <c r="C144" s="36"/>
      <c r="D144" s="37"/>
      <c r="E144" s="38">
        <v>0.33</v>
      </c>
      <c r="F144" s="39">
        <v>43121</v>
      </c>
      <c r="G144" s="40">
        <v>413000</v>
      </c>
      <c r="H144" s="41">
        <v>263835</v>
      </c>
      <c r="I144" s="42">
        <v>137653</v>
      </c>
      <c r="J144" s="43">
        <f t="shared" si="0"/>
        <v>401488</v>
      </c>
      <c r="K144" s="44">
        <f t="shared" si="1"/>
        <v>11512</v>
      </c>
      <c r="L144" s="117"/>
    </row>
    <row r="145" spans="1:12" x14ac:dyDescent="0.3">
      <c r="A145" s="70">
        <v>2442000</v>
      </c>
      <c r="B145" s="35" t="s">
        <v>175</v>
      </c>
      <c r="C145" s="36"/>
      <c r="D145" s="37"/>
      <c r="E145" s="38">
        <v>0.33</v>
      </c>
      <c r="F145" s="39">
        <v>43165</v>
      </c>
      <c r="G145" s="40">
        <v>671000</v>
      </c>
      <c r="H145" s="41">
        <v>410015</v>
      </c>
      <c r="I145" s="42">
        <v>223644</v>
      </c>
      <c r="J145" s="43">
        <f t="shared" si="0"/>
        <v>633659</v>
      </c>
      <c r="K145" s="44">
        <f t="shared" si="1"/>
        <v>37341</v>
      </c>
      <c r="L145" s="117"/>
    </row>
    <row r="146" spans="1:12" x14ac:dyDescent="0.3">
      <c r="A146" s="70">
        <v>2442000</v>
      </c>
      <c r="B146" s="35" t="s">
        <v>176</v>
      </c>
      <c r="C146" s="36"/>
      <c r="D146" s="37"/>
      <c r="E146" s="38">
        <v>0.33</v>
      </c>
      <c r="F146" s="39">
        <v>43195</v>
      </c>
      <c r="G146" s="40">
        <v>2746100</v>
      </c>
      <c r="H146" s="41">
        <v>1601731</v>
      </c>
      <c r="I146" s="42">
        <v>915275</v>
      </c>
      <c r="J146" s="43">
        <f>H146+I146</f>
        <v>2517006</v>
      </c>
      <c r="K146" s="44">
        <f t="shared" si="1"/>
        <v>229094</v>
      </c>
      <c r="L146" s="117"/>
    </row>
    <row r="147" spans="1:12" x14ac:dyDescent="0.3">
      <c r="A147" s="70">
        <v>2442000</v>
      </c>
      <c r="B147" s="35" t="s">
        <v>177</v>
      </c>
      <c r="C147" s="36"/>
      <c r="D147" s="37"/>
      <c r="E147" s="38">
        <v>0.33</v>
      </c>
      <c r="F147" s="39">
        <v>43223</v>
      </c>
      <c r="G147" s="40">
        <v>325000</v>
      </c>
      <c r="H147" s="41">
        <v>108323</v>
      </c>
      <c r="I147" s="42">
        <v>108323</v>
      </c>
      <c r="J147" s="43">
        <f t="shared" si="0"/>
        <v>216646</v>
      </c>
      <c r="K147" s="44">
        <f t="shared" si="1"/>
        <v>108354</v>
      </c>
      <c r="L147" s="117"/>
    </row>
    <row r="148" spans="1:12" x14ac:dyDescent="0.3">
      <c r="A148" s="70">
        <v>2442000</v>
      </c>
      <c r="B148" s="35" t="s">
        <v>178</v>
      </c>
      <c r="C148" s="36"/>
      <c r="D148" s="37"/>
      <c r="E148" s="38">
        <v>0.33</v>
      </c>
      <c r="F148" s="39">
        <v>43235</v>
      </c>
      <c r="G148" s="40">
        <v>300000</v>
      </c>
      <c r="H148" s="41">
        <v>166650</v>
      </c>
      <c r="I148" s="42">
        <v>100000</v>
      </c>
      <c r="J148" s="43">
        <f t="shared" si="0"/>
        <v>266650</v>
      </c>
      <c r="K148" s="44">
        <f t="shared" si="1"/>
        <v>33350</v>
      </c>
      <c r="L148" s="117"/>
    </row>
    <row r="149" spans="1:12" x14ac:dyDescent="0.3">
      <c r="A149" s="70">
        <v>2442000</v>
      </c>
      <c r="B149" s="35" t="s">
        <v>179</v>
      </c>
      <c r="C149" s="36"/>
      <c r="D149" s="37"/>
      <c r="E149" s="38">
        <v>0.33</v>
      </c>
      <c r="F149" s="39">
        <v>43248</v>
      </c>
      <c r="G149" s="40">
        <v>277300</v>
      </c>
      <c r="H149" s="41">
        <v>146338</v>
      </c>
      <c r="I149" s="42">
        <v>92424</v>
      </c>
      <c r="J149" s="43">
        <f t="shared" si="0"/>
        <v>238762</v>
      </c>
      <c r="K149" s="44">
        <f t="shared" si="1"/>
        <v>38538</v>
      </c>
      <c r="L149" s="117"/>
    </row>
    <row r="150" spans="1:12" x14ac:dyDescent="0.3">
      <c r="A150" s="70"/>
      <c r="B150" s="35" t="s">
        <v>180</v>
      </c>
      <c r="C150" s="36"/>
      <c r="D150" s="37"/>
      <c r="E150" s="38">
        <v>0.33</v>
      </c>
      <c r="F150" s="39">
        <v>43362</v>
      </c>
      <c r="G150" s="40">
        <v>300000</v>
      </c>
      <c r="H150" s="41">
        <v>124988</v>
      </c>
      <c r="I150" s="42">
        <v>99990</v>
      </c>
      <c r="J150" s="43">
        <f t="shared" si="0"/>
        <v>224978</v>
      </c>
      <c r="K150" s="44">
        <f t="shared" si="1"/>
        <v>75022</v>
      </c>
      <c r="L150" s="117"/>
    </row>
    <row r="151" spans="1:12" x14ac:dyDescent="0.3">
      <c r="A151" s="70"/>
      <c r="B151" s="35" t="s">
        <v>181</v>
      </c>
      <c r="C151" s="36"/>
      <c r="D151" s="37"/>
      <c r="E151" s="38">
        <v>0.33</v>
      </c>
      <c r="F151" s="39">
        <v>43362</v>
      </c>
      <c r="G151" s="40">
        <v>425000</v>
      </c>
      <c r="H151" s="41">
        <v>177066</v>
      </c>
      <c r="I151" s="42">
        <v>141653</v>
      </c>
      <c r="J151" s="43">
        <f t="shared" si="0"/>
        <v>318719</v>
      </c>
      <c r="K151" s="44">
        <f t="shared" si="1"/>
        <v>106281</v>
      </c>
      <c r="L151" s="117"/>
    </row>
    <row r="152" spans="1:12" x14ac:dyDescent="0.3">
      <c r="A152" s="70"/>
      <c r="B152" s="35" t="s">
        <v>182</v>
      </c>
      <c r="C152" s="36"/>
      <c r="D152" s="37"/>
      <c r="E152" s="38">
        <v>0.33</v>
      </c>
      <c r="F152" s="39">
        <v>43428</v>
      </c>
      <c r="G152" s="40">
        <v>390000</v>
      </c>
      <c r="H152" s="41">
        <v>140819</v>
      </c>
      <c r="I152" s="42">
        <v>140819</v>
      </c>
      <c r="J152" s="43">
        <f t="shared" si="0"/>
        <v>281638</v>
      </c>
      <c r="K152" s="44">
        <f t="shared" si="1"/>
        <v>108362</v>
      </c>
      <c r="L152" s="117"/>
    </row>
    <row r="153" spans="1:12" x14ac:dyDescent="0.3">
      <c r="A153" s="70"/>
      <c r="B153" s="35" t="s">
        <v>183</v>
      </c>
      <c r="C153" s="36"/>
      <c r="D153" s="37"/>
      <c r="E153" s="38">
        <v>0.33</v>
      </c>
      <c r="F153" s="39">
        <v>43132</v>
      </c>
      <c r="G153" s="40">
        <v>460000</v>
      </c>
      <c r="H153" s="41">
        <v>166095</v>
      </c>
      <c r="I153" s="42">
        <v>166095</v>
      </c>
      <c r="J153" s="43">
        <f t="shared" si="0"/>
        <v>332190</v>
      </c>
      <c r="K153" s="44">
        <f t="shared" si="1"/>
        <v>127810</v>
      </c>
      <c r="L153" s="117"/>
    </row>
    <row r="154" spans="1:12" x14ac:dyDescent="0.3">
      <c r="A154" s="70"/>
      <c r="B154" s="37" t="s">
        <v>183</v>
      </c>
      <c r="C154" s="37"/>
      <c r="D154" s="37"/>
      <c r="E154" s="37">
        <v>0.33</v>
      </c>
      <c r="F154" s="39">
        <v>43133</v>
      </c>
      <c r="G154" s="146">
        <v>750000</v>
      </c>
      <c r="H154" s="37">
        <v>249975</v>
      </c>
      <c r="I154" s="37">
        <v>249975</v>
      </c>
      <c r="J154" s="37">
        <f t="shared" si="0"/>
        <v>499950</v>
      </c>
      <c r="K154" s="146">
        <f t="shared" si="1"/>
        <v>250050</v>
      </c>
      <c r="L154" s="37"/>
    </row>
    <row r="155" spans="1:12" x14ac:dyDescent="0.3">
      <c r="A155" s="70"/>
      <c r="B155" s="35" t="s">
        <v>183</v>
      </c>
      <c r="C155" s="36"/>
      <c r="D155" s="37"/>
      <c r="E155" s="38">
        <v>0.33</v>
      </c>
      <c r="F155" s="39">
        <v>43466</v>
      </c>
      <c r="G155" s="149">
        <v>750000</v>
      </c>
      <c r="H155" s="41">
        <v>249975</v>
      </c>
      <c r="I155" s="42">
        <v>249975</v>
      </c>
      <c r="J155" s="43">
        <f t="shared" si="0"/>
        <v>499950</v>
      </c>
      <c r="K155" s="117">
        <f t="shared" si="1"/>
        <v>250050</v>
      </c>
      <c r="L155" s="117"/>
    </row>
    <row r="156" spans="1:12" x14ac:dyDescent="0.3">
      <c r="A156" s="70">
        <v>2442000</v>
      </c>
      <c r="B156" s="35" t="s">
        <v>184</v>
      </c>
      <c r="C156" s="36"/>
      <c r="D156" s="37"/>
      <c r="E156" s="38">
        <v>0.33</v>
      </c>
      <c r="F156" s="39">
        <v>43567</v>
      </c>
      <c r="G156" s="149">
        <v>450000</v>
      </c>
      <c r="H156" s="41">
        <v>112489</v>
      </c>
      <c r="I156" s="42">
        <v>112489</v>
      </c>
      <c r="J156" s="43">
        <f t="shared" si="0"/>
        <v>224978</v>
      </c>
      <c r="K156" s="117">
        <f t="shared" si="1"/>
        <v>225022</v>
      </c>
      <c r="L156" s="117"/>
    </row>
    <row r="157" spans="1:12" x14ac:dyDescent="0.3">
      <c r="A157" s="83"/>
      <c r="B157" s="35" t="s">
        <v>185</v>
      </c>
      <c r="C157" s="36"/>
      <c r="D157" s="37"/>
      <c r="E157" s="150">
        <v>0.1</v>
      </c>
      <c r="F157" s="151">
        <v>44378</v>
      </c>
      <c r="G157" s="152">
        <v>3500000</v>
      </c>
      <c r="H157" s="153"/>
      <c r="I157" s="154"/>
      <c r="J157" s="43"/>
      <c r="K157" s="117"/>
      <c r="L157" s="155"/>
    </row>
    <row r="158" spans="1:12" x14ac:dyDescent="0.3">
      <c r="A158" s="83"/>
      <c r="B158" s="35" t="s">
        <v>186</v>
      </c>
      <c r="C158" s="36"/>
      <c r="D158" s="37"/>
      <c r="E158" s="150"/>
      <c r="F158" s="151">
        <v>44197</v>
      </c>
      <c r="G158" s="152">
        <v>300000</v>
      </c>
      <c r="H158" s="153"/>
      <c r="I158" s="154"/>
      <c r="J158" s="43"/>
      <c r="K158" s="117"/>
      <c r="L158" s="155"/>
    </row>
    <row r="159" spans="1:12" x14ac:dyDescent="0.3">
      <c r="A159" s="83"/>
      <c r="B159" s="156"/>
      <c r="C159" s="157"/>
      <c r="D159" s="158"/>
      <c r="E159" s="159"/>
      <c r="F159" s="160"/>
      <c r="G159" s="161"/>
      <c r="H159" s="162"/>
      <c r="I159" s="163"/>
      <c r="J159" s="164"/>
      <c r="K159" s="165"/>
      <c r="L159" s="166"/>
    </row>
    <row r="160" spans="1:12" x14ac:dyDescent="0.3">
      <c r="A160" s="83"/>
      <c r="B160" s="156"/>
      <c r="C160" s="157"/>
      <c r="D160" s="158"/>
      <c r="E160" s="159"/>
      <c r="F160" s="160"/>
      <c r="G160" s="161"/>
      <c r="H160" s="162"/>
      <c r="I160" s="163"/>
      <c r="J160" s="164"/>
      <c r="K160" s="165"/>
      <c r="L160" s="166"/>
    </row>
    <row r="161" spans="1:12" x14ac:dyDescent="0.3">
      <c r="A161" s="70"/>
      <c r="B161" s="167" t="s">
        <v>187</v>
      </c>
      <c r="C161" s="168"/>
      <c r="D161" s="168"/>
      <c r="E161" s="168"/>
      <c r="F161" s="169"/>
      <c r="G161" s="170"/>
      <c r="H161" s="171"/>
      <c r="I161" s="172"/>
      <c r="J161" s="173"/>
      <c r="K161" s="174"/>
      <c r="L161" s="174"/>
    </row>
    <row r="162" spans="1:12" ht="15" thickBot="1" x14ac:dyDescent="0.35">
      <c r="A162" s="70"/>
      <c r="B162" s="175" t="s">
        <v>188</v>
      </c>
      <c r="C162" s="176"/>
      <c r="D162" s="176"/>
      <c r="E162" s="168"/>
      <c r="F162" s="169"/>
      <c r="G162" s="170"/>
      <c r="H162" s="171"/>
      <c r="I162" s="172"/>
      <c r="J162" s="173"/>
      <c r="K162" s="174"/>
      <c r="L162" s="174"/>
    </row>
    <row r="163" spans="1:12" x14ac:dyDescent="0.3">
      <c r="A163" s="177">
        <v>245000</v>
      </c>
      <c r="B163" s="59" t="s">
        <v>189</v>
      </c>
      <c r="C163" s="60"/>
      <c r="D163" s="61"/>
      <c r="E163" s="178"/>
      <c r="F163" s="179"/>
      <c r="G163" s="40"/>
      <c r="H163" s="180"/>
      <c r="I163" s="181"/>
      <c r="J163" s="182">
        <f t="shared" si="0"/>
        <v>0</v>
      </c>
      <c r="K163" s="44">
        <f t="shared" si="1"/>
        <v>0</v>
      </c>
      <c r="L163" s="44"/>
    </row>
    <row r="164" spans="1:12" x14ac:dyDescent="0.3">
      <c r="A164" s="70">
        <v>245101</v>
      </c>
      <c r="B164" s="35" t="s">
        <v>190</v>
      </c>
      <c r="C164" s="36"/>
      <c r="D164" s="37"/>
      <c r="E164" s="38">
        <v>0.33329999999999999</v>
      </c>
      <c r="F164" s="39">
        <v>42736</v>
      </c>
      <c r="G164" s="149">
        <v>9345711</v>
      </c>
      <c r="H164" s="41">
        <v>9345711</v>
      </c>
      <c r="I164" s="42"/>
      <c r="J164" s="43">
        <f t="shared" si="0"/>
        <v>9345711</v>
      </c>
      <c r="K164" s="117">
        <f t="shared" si="1"/>
        <v>0</v>
      </c>
      <c r="L164" s="117"/>
    </row>
    <row r="165" spans="1:12" x14ac:dyDescent="0.3">
      <c r="A165" s="70">
        <v>245102</v>
      </c>
      <c r="B165" s="35" t="s">
        <v>191</v>
      </c>
      <c r="C165" s="36"/>
      <c r="D165" s="37"/>
      <c r="E165" s="38">
        <v>0.33329999999999999</v>
      </c>
      <c r="F165" s="39">
        <v>42736</v>
      </c>
      <c r="G165" s="149">
        <v>13238057</v>
      </c>
      <c r="H165" s="41">
        <v>13238057</v>
      </c>
      <c r="I165" s="42"/>
      <c r="J165" s="43">
        <f t="shared" si="0"/>
        <v>13238057</v>
      </c>
      <c r="K165" s="117">
        <f t="shared" si="1"/>
        <v>0</v>
      </c>
      <c r="L165" s="117"/>
    </row>
    <row r="166" spans="1:12" x14ac:dyDescent="0.3">
      <c r="A166" s="70">
        <v>245103</v>
      </c>
      <c r="B166" s="35" t="s">
        <v>192</v>
      </c>
      <c r="C166" s="36"/>
      <c r="D166" s="37"/>
      <c r="E166" s="38">
        <v>0.33329999999999999</v>
      </c>
      <c r="F166" s="39">
        <v>42736</v>
      </c>
      <c r="G166" s="149">
        <v>9610424</v>
      </c>
      <c r="H166" s="41">
        <v>9610424</v>
      </c>
      <c r="I166" s="42"/>
      <c r="J166" s="43">
        <f t="shared" si="0"/>
        <v>9610424</v>
      </c>
      <c r="K166" s="117">
        <f t="shared" si="1"/>
        <v>0</v>
      </c>
      <c r="L166" s="117"/>
    </row>
    <row r="167" spans="1:12" x14ac:dyDescent="0.3">
      <c r="A167" s="183">
        <v>2451000</v>
      </c>
      <c r="B167" s="35" t="s">
        <v>193</v>
      </c>
      <c r="C167" s="184"/>
      <c r="D167" s="184"/>
      <c r="E167" s="184">
        <v>0.33329999999999999</v>
      </c>
      <c r="F167" s="39">
        <v>42736</v>
      </c>
      <c r="G167" s="185">
        <v>19149034</v>
      </c>
      <c r="H167" s="116">
        <v>19149034</v>
      </c>
      <c r="I167" s="184"/>
      <c r="J167" s="184">
        <f t="shared" si="0"/>
        <v>19149034</v>
      </c>
      <c r="K167" s="186">
        <f t="shared" si="1"/>
        <v>0</v>
      </c>
      <c r="L167" s="186"/>
    </row>
    <row r="168" spans="1:12" x14ac:dyDescent="0.3">
      <c r="A168" s="70">
        <v>245104</v>
      </c>
      <c r="B168" s="35" t="s">
        <v>194</v>
      </c>
      <c r="C168" s="36"/>
      <c r="D168" s="37"/>
      <c r="E168" s="38">
        <v>0.33329999999999999</v>
      </c>
      <c r="F168" s="39">
        <v>42736</v>
      </c>
      <c r="G168" s="149">
        <v>9819370</v>
      </c>
      <c r="H168" s="41">
        <v>9819370</v>
      </c>
      <c r="I168" s="42"/>
      <c r="J168" s="43">
        <f t="shared" si="0"/>
        <v>9819370</v>
      </c>
      <c r="K168" s="117">
        <f t="shared" si="1"/>
        <v>0</v>
      </c>
      <c r="L168" s="117"/>
    </row>
    <row r="169" spans="1:12" x14ac:dyDescent="0.3">
      <c r="A169" s="70">
        <v>245106</v>
      </c>
      <c r="B169" s="35" t="s">
        <v>195</v>
      </c>
      <c r="C169" s="36"/>
      <c r="D169" s="37"/>
      <c r="E169" s="38">
        <v>0.33329999999999999</v>
      </c>
      <c r="F169" s="39">
        <v>42736</v>
      </c>
      <c r="G169" s="149">
        <v>12169590</v>
      </c>
      <c r="H169" s="41">
        <v>12169590</v>
      </c>
      <c r="I169" s="42"/>
      <c r="J169" s="43">
        <f t="shared" si="0"/>
        <v>12169590</v>
      </c>
      <c r="K169" s="117">
        <f t="shared" si="1"/>
        <v>0</v>
      </c>
      <c r="L169" s="117"/>
    </row>
    <row r="170" spans="1:12" x14ac:dyDescent="0.3">
      <c r="A170" s="70">
        <v>245115</v>
      </c>
      <c r="B170" s="35" t="s">
        <v>196</v>
      </c>
      <c r="C170" s="36"/>
      <c r="D170" s="37"/>
      <c r="E170" s="38">
        <v>0.33329999999999999</v>
      </c>
      <c r="F170" s="39">
        <v>42736</v>
      </c>
      <c r="G170" s="149">
        <v>5367635</v>
      </c>
      <c r="H170" s="41">
        <v>5367635</v>
      </c>
      <c r="I170" s="42"/>
      <c r="J170" s="43">
        <f t="shared" si="0"/>
        <v>5367635</v>
      </c>
      <c r="K170" s="117">
        <f t="shared" si="1"/>
        <v>0</v>
      </c>
      <c r="L170" s="117"/>
    </row>
    <row r="171" spans="1:12" x14ac:dyDescent="0.3">
      <c r="A171" s="70">
        <v>245800</v>
      </c>
      <c r="B171" s="35" t="s">
        <v>197</v>
      </c>
      <c r="C171" s="36"/>
      <c r="D171" s="37"/>
      <c r="E171" s="38">
        <v>0.33329999999999999</v>
      </c>
      <c r="F171" s="39">
        <v>42953</v>
      </c>
      <c r="G171" s="149">
        <v>1250000</v>
      </c>
      <c r="H171" s="41">
        <v>1250000</v>
      </c>
      <c r="I171" s="42"/>
      <c r="J171" s="43">
        <f t="shared" si="0"/>
        <v>1250000</v>
      </c>
      <c r="K171" s="117">
        <f t="shared" si="1"/>
        <v>0</v>
      </c>
      <c r="L171" s="117"/>
    </row>
    <row r="172" spans="1:12" x14ac:dyDescent="0.3">
      <c r="A172" s="70">
        <v>245105</v>
      </c>
      <c r="B172" s="35" t="s">
        <v>198</v>
      </c>
      <c r="C172" s="36"/>
      <c r="D172" s="37"/>
      <c r="E172" s="38">
        <v>0.33329999999999999</v>
      </c>
      <c r="F172" s="39">
        <v>43100</v>
      </c>
      <c r="G172" s="149">
        <v>2067706</v>
      </c>
      <c r="H172" s="41">
        <v>2067706</v>
      </c>
      <c r="I172" s="42"/>
      <c r="J172" s="43">
        <f t="shared" si="0"/>
        <v>2067706</v>
      </c>
      <c r="K172" s="117">
        <f t="shared" si="1"/>
        <v>0</v>
      </c>
      <c r="L172" s="117"/>
    </row>
    <row r="173" spans="1:12" x14ac:dyDescent="0.3">
      <c r="A173" s="70">
        <v>2451100</v>
      </c>
      <c r="B173" s="35" t="s">
        <v>199</v>
      </c>
      <c r="C173" s="36"/>
      <c r="D173" s="37"/>
      <c r="E173" s="38">
        <v>0.1</v>
      </c>
      <c r="F173" s="39">
        <v>43108</v>
      </c>
      <c r="G173" s="149">
        <v>1500000</v>
      </c>
      <c r="H173" s="41">
        <v>300000</v>
      </c>
      <c r="I173" s="42">
        <v>150000</v>
      </c>
      <c r="J173" s="43">
        <f>H173+I173</f>
        <v>450000</v>
      </c>
      <c r="K173" s="117">
        <f>G173-H173-I173</f>
        <v>1050000</v>
      </c>
      <c r="L173" s="117"/>
    </row>
    <row r="174" spans="1:12" x14ac:dyDescent="0.3">
      <c r="A174" s="70">
        <v>2451200</v>
      </c>
      <c r="B174" s="35" t="s">
        <v>200</v>
      </c>
      <c r="C174" s="36"/>
      <c r="D174" s="37"/>
      <c r="E174" s="38">
        <v>0.1</v>
      </c>
      <c r="F174" s="39">
        <v>43146</v>
      </c>
      <c r="G174" s="149">
        <v>400000</v>
      </c>
      <c r="H174" s="41">
        <v>76667</v>
      </c>
      <c r="I174" s="42">
        <v>40000</v>
      </c>
      <c r="J174" s="43">
        <f t="shared" si="0"/>
        <v>116667</v>
      </c>
      <c r="K174" s="117">
        <f t="shared" si="1"/>
        <v>283333</v>
      </c>
      <c r="L174" s="117"/>
    </row>
    <row r="175" spans="1:12" x14ac:dyDescent="0.3">
      <c r="A175" s="70">
        <v>2451200</v>
      </c>
      <c r="B175" s="35" t="s">
        <v>201</v>
      </c>
      <c r="C175" s="36"/>
      <c r="D175" s="37"/>
      <c r="E175" s="38">
        <v>0.1</v>
      </c>
      <c r="F175" s="39">
        <v>43146</v>
      </c>
      <c r="G175" s="149">
        <v>400000</v>
      </c>
      <c r="H175" s="41">
        <v>76667</v>
      </c>
      <c r="I175" s="42">
        <v>40000</v>
      </c>
      <c r="J175" s="43">
        <f t="shared" si="0"/>
        <v>116667</v>
      </c>
      <c r="K175" s="117">
        <f t="shared" si="1"/>
        <v>283333</v>
      </c>
      <c r="L175" s="117"/>
    </row>
    <row r="176" spans="1:12" x14ac:dyDescent="0.3">
      <c r="A176" s="70">
        <v>24513</v>
      </c>
      <c r="B176" s="187" t="s">
        <v>202</v>
      </c>
      <c r="C176" s="188"/>
      <c r="D176" s="189"/>
      <c r="E176" s="190">
        <v>0.1</v>
      </c>
      <c r="F176" s="191">
        <v>43214</v>
      </c>
      <c r="G176" s="40">
        <v>10045664</v>
      </c>
      <c r="H176" s="192">
        <v>1674277</v>
      </c>
      <c r="I176" s="193">
        <v>1004566</v>
      </c>
      <c r="J176" s="194">
        <f t="shared" si="0"/>
        <v>2678843</v>
      </c>
      <c r="K176" s="44">
        <f t="shared" si="1"/>
        <v>7366821</v>
      </c>
      <c r="L176" s="44"/>
    </row>
    <row r="177" spans="1:12" x14ac:dyDescent="0.3">
      <c r="A177" s="83"/>
      <c r="B177" s="35" t="s">
        <v>203</v>
      </c>
      <c r="C177" s="36"/>
      <c r="D177" s="37"/>
      <c r="E177" s="150">
        <v>0.1</v>
      </c>
      <c r="F177" s="151">
        <v>44197</v>
      </c>
      <c r="G177" s="152">
        <v>115000000</v>
      </c>
      <c r="H177" s="153"/>
      <c r="I177" s="154"/>
      <c r="J177" s="43"/>
      <c r="K177" s="117"/>
      <c r="L177" s="155"/>
    </row>
    <row r="178" spans="1:12" x14ac:dyDescent="0.3">
      <c r="A178" s="83"/>
      <c r="B178" s="35" t="s">
        <v>204</v>
      </c>
      <c r="C178" s="36"/>
      <c r="D178" s="37" t="s">
        <v>205</v>
      </c>
      <c r="E178" s="150">
        <v>0.1</v>
      </c>
      <c r="F178" s="151">
        <v>44197</v>
      </c>
      <c r="G178" s="152">
        <v>8500000</v>
      </c>
      <c r="H178" s="153"/>
      <c r="I178" s="154"/>
      <c r="J178" s="43"/>
      <c r="K178" s="117"/>
      <c r="L178" s="155"/>
    </row>
    <row r="179" spans="1:12" x14ac:dyDescent="0.3">
      <c r="A179" s="83"/>
      <c r="B179" s="35" t="s">
        <v>206</v>
      </c>
      <c r="C179" s="36"/>
      <c r="D179" s="37"/>
      <c r="E179" s="150">
        <v>0.1</v>
      </c>
      <c r="F179" s="151">
        <v>44197</v>
      </c>
      <c r="G179" s="152">
        <v>5300000</v>
      </c>
      <c r="H179" s="153"/>
      <c r="I179" s="154"/>
      <c r="J179" s="43"/>
      <c r="K179" s="117"/>
      <c r="L179" s="155"/>
    </row>
    <row r="180" spans="1:12" x14ac:dyDescent="0.3">
      <c r="A180" s="83"/>
      <c r="B180" s="35" t="s">
        <v>207</v>
      </c>
      <c r="C180" s="36"/>
      <c r="D180" s="37"/>
      <c r="E180" s="150">
        <v>0.1</v>
      </c>
      <c r="F180" s="151">
        <v>44197</v>
      </c>
      <c r="G180" s="152">
        <v>223000000</v>
      </c>
      <c r="H180" s="153"/>
      <c r="I180" s="154"/>
      <c r="J180" s="43"/>
      <c r="K180" s="117"/>
      <c r="L180" s="155"/>
    </row>
    <row r="181" spans="1:12" x14ac:dyDescent="0.3">
      <c r="A181" s="83"/>
      <c r="B181" s="35" t="s">
        <v>208</v>
      </c>
      <c r="C181" s="36"/>
      <c r="D181" s="37"/>
      <c r="E181" s="150">
        <v>0.1</v>
      </c>
      <c r="F181" s="151">
        <v>44197</v>
      </c>
      <c r="G181" s="152">
        <v>20000000</v>
      </c>
      <c r="H181" s="153"/>
      <c r="I181" s="154"/>
      <c r="J181" s="43"/>
      <c r="K181" s="117"/>
      <c r="L181" s="155"/>
    </row>
    <row r="182" spans="1:12" x14ac:dyDescent="0.3">
      <c r="A182" s="83"/>
      <c r="B182" s="35" t="s">
        <v>209</v>
      </c>
      <c r="C182" s="36"/>
      <c r="D182" s="37"/>
      <c r="E182" s="150">
        <v>0.1</v>
      </c>
      <c r="F182" s="151">
        <v>44197</v>
      </c>
      <c r="G182" s="152">
        <v>45000000</v>
      </c>
      <c r="H182" s="153"/>
      <c r="I182" s="154"/>
      <c r="J182" s="43"/>
      <c r="K182" s="117"/>
      <c r="L182" s="155"/>
    </row>
    <row r="183" spans="1:12" ht="15" thickBot="1" x14ac:dyDescent="0.35">
      <c r="A183" s="83"/>
      <c r="B183" s="35" t="s">
        <v>210</v>
      </c>
      <c r="C183" s="36"/>
      <c r="D183" s="37"/>
      <c r="E183" s="150">
        <v>0.1</v>
      </c>
      <c r="F183" s="151">
        <v>44197</v>
      </c>
      <c r="G183" s="152">
        <v>50000000</v>
      </c>
      <c r="H183" s="153"/>
      <c r="I183" s="154"/>
      <c r="J183" s="43"/>
      <c r="K183" s="117"/>
      <c r="L183" s="155"/>
    </row>
    <row r="184" spans="1:12" x14ac:dyDescent="0.3">
      <c r="A184" s="177">
        <v>2380000</v>
      </c>
      <c r="B184" s="59" t="s">
        <v>211</v>
      </c>
      <c r="C184" s="60"/>
      <c r="D184" s="61"/>
      <c r="E184" s="178"/>
      <c r="F184" s="179"/>
      <c r="G184" s="40"/>
      <c r="H184" s="180"/>
      <c r="I184" s="181"/>
      <c r="J184" s="182">
        <f t="shared" si="0"/>
        <v>0</v>
      </c>
      <c r="K184" s="44">
        <f t="shared" si="1"/>
        <v>0</v>
      </c>
      <c r="L184" s="44"/>
    </row>
    <row r="185" spans="1:12" x14ac:dyDescent="0.3">
      <c r="A185" s="70">
        <v>2390101</v>
      </c>
      <c r="B185" s="35" t="s">
        <v>212</v>
      </c>
      <c r="C185" s="36"/>
      <c r="D185" s="37"/>
      <c r="E185" s="38"/>
      <c r="F185" s="39"/>
      <c r="G185" s="149">
        <v>500000</v>
      </c>
      <c r="H185" s="41"/>
      <c r="I185" s="42"/>
      <c r="J185" s="43">
        <f t="shared" si="0"/>
        <v>0</v>
      </c>
      <c r="K185" s="117">
        <f t="shared" si="1"/>
        <v>500000</v>
      </c>
      <c r="L185" s="117"/>
    </row>
    <row r="186" spans="1:12" x14ac:dyDescent="0.3">
      <c r="A186" s="70">
        <v>2390101</v>
      </c>
      <c r="B186" s="35" t="s">
        <v>213</v>
      </c>
      <c r="C186" s="36"/>
      <c r="D186" s="37"/>
      <c r="E186" s="38"/>
      <c r="F186" s="39"/>
      <c r="G186" s="149">
        <v>3177000</v>
      </c>
      <c r="H186" s="41"/>
      <c r="I186" s="42"/>
      <c r="J186" s="43">
        <f t="shared" si="0"/>
        <v>0</v>
      </c>
      <c r="K186" s="117">
        <f t="shared" si="1"/>
        <v>3177000</v>
      </c>
      <c r="L186" s="117"/>
    </row>
    <row r="187" spans="1:12" x14ac:dyDescent="0.3">
      <c r="A187" s="70"/>
      <c r="B187" s="35" t="s">
        <v>214</v>
      </c>
      <c r="C187" s="36"/>
      <c r="D187" s="37"/>
      <c r="E187" s="38"/>
      <c r="F187" s="39"/>
      <c r="G187" s="149">
        <v>432000</v>
      </c>
      <c r="H187" s="41"/>
      <c r="I187" s="42"/>
      <c r="J187" s="43">
        <f t="shared" si="0"/>
        <v>0</v>
      </c>
      <c r="K187" s="117">
        <f t="shared" si="1"/>
        <v>432000</v>
      </c>
      <c r="L187" s="117"/>
    </row>
    <row r="188" spans="1:12" x14ac:dyDescent="0.3">
      <c r="A188" s="70"/>
      <c r="B188" s="35" t="s">
        <v>215</v>
      </c>
      <c r="C188" s="36"/>
      <c r="D188" s="37"/>
      <c r="E188" s="38"/>
      <c r="F188" s="39"/>
      <c r="G188" s="149">
        <v>16778580</v>
      </c>
      <c r="H188" s="41"/>
      <c r="I188" s="42"/>
      <c r="J188" s="43">
        <f t="shared" si="0"/>
        <v>0</v>
      </c>
      <c r="K188" s="117">
        <f t="shared" si="1"/>
        <v>16778580</v>
      </c>
      <c r="L188" s="117"/>
    </row>
    <row r="189" spans="1:12" x14ac:dyDescent="0.3">
      <c r="A189" s="70"/>
      <c r="B189" s="35" t="s">
        <v>216</v>
      </c>
      <c r="C189" s="36"/>
      <c r="D189" s="37"/>
      <c r="E189" s="38"/>
      <c r="F189" s="39"/>
      <c r="G189" s="149">
        <v>5050000</v>
      </c>
      <c r="H189" s="41"/>
      <c r="I189" s="42"/>
      <c r="J189" s="43">
        <f t="shared" si="0"/>
        <v>0</v>
      </c>
      <c r="K189" s="117">
        <f t="shared" si="1"/>
        <v>5050000</v>
      </c>
      <c r="L189" s="117"/>
    </row>
    <row r="190" spans="1:12" x14ac:dyDescent="0.3">
      <c r="A190" s="70"/>
      <c r="B190" s="35" t="s">
        <v>217</v>
      </c>
      <c r="C190" s="36"/>
      <c r="D190" s="37"/>
      <c r="E190" s="38"/>
      <c r="F190" s="39"/>
      <c r="G190" s="149">
        <v>25259192</v>
      </c>
      <c r="H190" s="41"/>
      <c r="I190" s="42"/>
      <c r="J190" s="43">
        <f t="shared" si="0"/>
        <v>0</v>
      </c>
      <c r="K190" s="117">
        <f t="shared" si="1"/>
        <v>25259192</v>
      </c>
      <c r="L190" s="117"/>
    </row>
    <row r="191" spans="1:12" x14ac:dyDescent="0.3">
      <c r="A191" s="70"/>
      <c r="B191" s="35" t="s">
        <v>218</v>
      </c>
      <c r="C191" s="36"/>
      <c r="D191" s="37"/>
      <c r="E191" s="38"/>
      <c r="F191" s="39"/>
      <c r="G191" s="149">
        <v>35000000</v>
      </c>
      <c r="H191" s="41"/>
      <c r="I191" s="42"/>
      <c r="J191" s="43">
        <f t="shared" si="0"/>
        <v>0</v>
      </c>
      <c r="K191" s="117">
        <f>G191-H191-I191</f>
        <v>35000000</v>
      </c>
      <c r="L191" s="117"/>
    </row>
    <row r="192" spans="1:12" x14ac:dyDescent="0.3">
      <c r="A192" s="70"/>
      <c r="B192" s="35" t="s">
        <v>219</v>
      </c>
      <c r="C192" s="36"/>
      <c r="D192" s="37"/>
      <c r="E192" s="38"/>
      <c r="F192" s="39"/>
      <c r="G192" s="149">
        <v>37255360</v>
      </c>
      <c r="H192" s="41"/>
      <c r="I192" s="42"/>
      <c r="J192" s="43">
        <f t="shared" si="0"/>
        <v>0</v>
      </c>
      <c r="K192" s="117">
        <f t="shared" si="1"/>
        <v>37255360</v>
      </c>
      <c r="L192" s="117"/>
    </row>
    <row r="193" spans="1:12" x14ac:dyDescent="0.3">
      <c r="A193" s="70"/>
      <c r="B193" s="35" t="s">
        <v>220</v>
      </c>
      <c r="C193" s="36"/>
      <c r="D193" s="37"/>
      <c r="E193" s="38"/>
      <c r="F193" s="39"/>
      <c r="G193" s="149">
        <v>143050</v>
      </c>
      <c r="H193" s="41"/>
      <c r="I193" s="42"/>
      <c r="J193" s="43">
        <f t="shared" si="0"/>
        <v>0</v>
      </c>
      <c r="K193" s="117">
        <f t="shared" si="1"/>
        <v>143050</v>
      </c>
      <c r="L193" s="117"/>
    </row>
    <row r="194" spans="1:12" x14ac:dyDescent="0.3">
      <c r="A194" s="70"/>
      <c r="B194" s="35" t="s">
        <v>221</v>
      </c>
      <c r="C194" s="36"/>
      <c r="D194" s="37"/>
      <c r="E194" s="38"/>
      <c r="F194" s="39"/>
      <c r="G194" s="149">
        <v>2401500</v>
      </c>
      <c r="H194" s="41"/>
      <c r="I194" s="42"/>
      <c r="J194" s="43">
        <f t="shared" si="0"/>
        <v>0</v>
      </c>
      <c r="K194" s="117">
        <f t="shared" si="1"/>
        <v>2401500</v>
      </c>
      <c r="L194" s="117"/>
    </row>
    <row r="195" spans="1:12" x14ac:dyDescent="0.3">
      <c r="A195" s="70"/>
      <c r="B195" s="35" t="s">
        <v>222</v>
      </c>
      <c r="C195" s="36"/>
      <c r="D195" s="37"/>
      <c r="E195" s="38"/>
      <c r="F195" s="39"/>
      <c r="G195" s="149">
        <v>2329000</v>
      </c>
      <c r="H195" s="41"/>
      <c r="I195" s="42"/>
      <c r="J195" s="43">
        <f t="shared" si="0"/>
        <v>0</v>
      </c>
      <c r="K195" s="117">
        <f t="shared" si="1"/>
        <v>2329000</v>
      </c>
      <c r="L195" s="117"/>
    </row>
    <row r="196" spans="1:12" x14ac:dyDescent="0.3">
      <c r="A196" s="70"/>
      <c r="B196" s="35" t="s">
        <v>82</v>
      </c>
      <c r="C196" s="36"/>
      <c r="D196" s="37"/>
      <c r="E196" s="38"/>
      <c r="F196" s="39"/>
      <c r="G196" s="149">
        <v>176000</v>
      </c>
      <c r="H196" s="41"/>
      <c r="I196" s="42"/>
      <c r="J196" s="43">
        <f t="shared" si="0"/>
        <v>0</v>
      </c>
      <c r="K196" s="117">
        <f t="shared" si="1"/>
        <v>176000</v>
      </c>
      <c r="L196" s="117"/>
    </row>
    <row r="197" spans="1:12" x14ac:dyDescent="0.3">
      <c r="A197" s="70"/>
      <c r="B197" s="156"/>
      <c r="C197" s="157"/>
      <c r="D197" s="158"/>
      <c r="E197" s="195"/>
      <c r="F197" s="196"/>
      <c r="G197" s="197">
        <v>4532500</v>
      </c>
      <c r="H197" s="198"/>
      <c r="I197" s="199"/>
      <c r="J197" s="164">
        <f t="shared" si="0"/>
        <v>0</v>
      </c>
      <c r="K197" s="165">
        <f t="shared" si="1"/>
        <v>4532500</v>
      </c>
      <c r="L197" s="165"/>
    </row>
    <row r="198" spans="1:12" x14ac:dyDescent="0.3">
      <c r="A198" s="70"/>
      <c r="B198" s="156"/>
      <c r="C198" s="157"/>
      <c r="D198" s="158"/>
      <c r="E198" s="195"/>
      <c r="F198" s="196"/>
      <c r="G198" s="197"/>
      <c r="H198" s="198"/>
      <c r="I198" s="199"/>
      <c r="J198" s="164">
        <f t="shared" si="0"/>
        <v>0</v>
      </c>
      <c r="K198" s="165">
        <f t="shared" si="1"/>
        <v>0</v>
      </c>
      <c r="L198" s="165"/>
    </row>
    <row r="199" spans="1:12" x14ac:dyDescent="0.3">
      <c r="A199" s="200" t="s">
        <v>223</v>
      </c>
      <c r="B199" s="201"/>
      <c r="C199" s="201"/>
      <c r="D199" s="201"/>
      <c r="E199" s="201"/>
      <c r="F199" s="202"/>
      <c r="G199" s="203"/>
      <c r="H199" s="204"/>
      <c r="I199" s="201"/>
      <c r="J199" s="201"/>
      <c r="K199" s="205"/>
      <c r="L199" s="206"/>
    </row>
    <row r="200" spans="1:12" x14ac:dyDescent="0.3">
      <c r="A200" s="70"/>
      <c r="B200" s="156"/>
      <c r="C200" s="157"/>
      <c r="D200" s="158"/>
      <c r="E200" s="195"/>
      <c r="F200" s="196"/>
      <c r="G200" s="197"/>
      <c r="H200" s="198"/>
      <c r="I200" s="199"/>
      <c r="J200" s="164">
        <f t="shared" si="0"/>
        <v>0</v>
      </c>
      <c r="K200" s="165">
        <f t="shared" si="1"/>
        <v>0</v>
      </c>
      <c r="L200" s="165"/>
    </row>
    <row r="201" spans="1:12" x14ac:dyDescent="0.3">
      <c r="A201" s="70"/>
      <c r="B201" s="156"/>
      <c r="C201" s="157"/>
      <c r="D201" s="158"/>
      <c r="E201" s="195"/>
      <c r="F201" s="196"/>
      <c r="G201" s="197"/>
      <c r="H201" s="198"/>
      <c r="I201" s="199"/>
      <c r="J201" s="164">
        <f t="shared" si="0"/>
        <v>0</v>
      </c>
      <c r="K201" s="165">
        <f t="shared" si="1"/>
        <v>0</v>
      </c>
      <c r="L201" s="165"/>
    </row>
    <row r="202" spans="1:12" x14ac:dyDescent="0.3">
      <c r="A202" s="70"/>
      <c r="B202" s="156"/>
      <c r="C202" s="157"/>
      <c r="D202" s="158"/>
      <c r="E202" s="195"/>
      <c r="F202" s="196"/>
      <c r="G202" s="197"/>
      <c r="H202" s="198"/>
      <c r="I202" s="199"/>
      <c r="J202" s="164">
        <f t="shared" si="0"/>
        <v>0</v>
      </c>
      <c r="K202" s="165">
        <f t="shared" si="1"/>
        <v>0</v>
      </c>
      <c r="L202" s="165"/>
    </row>
    <row r="203" spans="1:12" x14ac:dyDescent="0.3">
      <c r="A203" s="70"/>
      <c r="B203" s="156"/>
      <c r="C203" s="157"/>
      <c r="D203" s="158"/>
      <c r="E203" s="195"/>
      <c r="F203" s="196"/>
      <c r="G203" s="197"/>
      <c r="H203" s="198"/>
      <c r="I203" s="199"/>
      <c r="J203" s="164">
        <f t="shared" si="0"/>
        <v>0</v>
      </c>
      <c r="K203" s="165">
        <f t="shared" si="1"/>
        <v>0</v>
      </c>
      <c r="L203" s="165"/>
    </row>
    <row r="204" spans="1:12" x14ac:dyDescent="0.3">
      <c r="A204" s="70"/>
      <c r="B204" s="156"/>
      <c r="C204" s="157"/>
      <c r="D204" s="158"/>
      <c r="E204" s="195"/>
      <c r="F204" s="196"/>
      <c r="G204" s="197"/>
      <c r="H204" s="198"/>
      <c r="I204" s="199"/>
      <c r="J204" s="164">
        <f t="shared" si="0"/>
        <v>0</v>
      </c>
      <c r="K204" s="165">
        <f t="shared" si="1"/>
        <v>0</v>
      </c>
      <c r="L204" s="165"/>
    </row>
    <row r="205" spans="1:12" x14ac:dyDescent="0.3">
      <c r="A205" s="70"/>
      <c r="B205" s="156"/>
      <c r="C205" s="157"/>
      <c r="D205" s="158"/>
      <c r="E205" s="195"/>
      <c r="F205" s="196"/>
      <c r="G205" s="197"/>
      <c r="H205" s="198"/>
      <c r="I205" s="199"/>
      <c r="J205" s="164">
        <f t="shared" si="0"/>
        <v>0</v>
      </c>
      <c r="K205" s="165">
        <f t="shared" si="1"/>
        <v>0</v>
      </c>
      <c r="L205" s="165"/>
    </row>
    <row r="206" spans="1:12" x14ac:dyDescent="0.3">
      <c r="A206" s="70"/>
      <c r="B206" s="156"/>
      <c r="C206" s="157"/>
      <c r="D206" s="158"/>
      <c r="E206" s="195"/>
      <c r="F206" s="196"/>
      <c r="G206" s="197"/>
      <c r="H206" s="198"/>
      <c r="I206" s="199"/>
      <c r="J206" s="164">
        <f t="shared" si="0"/>
        <v>0</v>
      </c>
      <c r="K206" s="165">
        <f t="shared" si="1"/>
        <v>0</v>
      </c>
      <c r="L206" s="165"/>
    </row>
    <row r="207" spans="1:12" ht="15" thickBot="1" x14ac:dyDescent="0.35">
      <c r="A207" s="83"/>
      <c r="B207" s="207"/>
      <c r="C207" s="83"/>
      <c r="D207" s="83"/>
      <c r="E207" s="159"/>
      <c r="F207" s="160"/>
      <c r="G207" s="161"/>
      <c r="H207" s="162"/>
      <c r="I207" s="163"/>
      <c r="J207" s="122">
        <f t="shared" si="0"/>
        <v>0</v>
      </c>
      <c r="K207" s="165">
        <f t="shared" si="1"/>
        <v>0</v>
      </c>
      <c r="L207" s="166"/>
    </row>
    <row r="208" spans="1:12" x14ac:dyDescent="0.3">
      <c r="A208" s="208" t="s">
        <v>44</v>
      </c>
      <c r="B208" s="209"/>
      <c r="C208" s="209"/>
      <c r="D208" s="209"/>
      <c r="E208" s="209"/>
      <c r="F208" s="210"/>
      <c r="G208" s="211">
        <f>SUM(G4:G207)</f>
        <v>1916919430</v>
      </c>
      <c r="H208" s="212" t="e">
        <f>SUM(H4:H207)</f>
        <v>#REF!</v>
      </c>
      <c r="I208" s="213" t="e">
        <f>SUM(I4:I207)</f>
        <v>#REF!</v>
      </c>
      <c r="J208" s="213" t="e">
        <f>SUM(J4:J207)</f>
        <v>#REF!</v>
      </c>
      <c r="K208" s="214" t="e">
        <f>SUM(K4:K207)</f>
        <v>#REF!</v>
      </c>
      <c r="L208" s="214"/>
    </row>
    <row r="209" spans="1:12" x14ac:dyDescent="0.3">
      <c r="A209" s="83"/>
      <c r="B209" s="215"/>
      <c r="C209" s="216"/>
      <c r="D209" s="217"/>
      <c r="E209" s="159"/>
      <c r="F209" s="160"/>
      <c r="G209" s="161">
        <v>1865378113</v>
      </c>
      <c r="H209" s="162"/>
      <c r="I209" s="163"/>
      <c r="J209" s="218"/>
      <c r="K209" s="166"/>
      <c r="L209" s="166"/>
    </row>
  </sheetData>
  <mergeCells count="8">
    <mergeCell ref="L2:L3"/>
    <mergeCell ref="C3:D3"/>
    <mergeCell ref="A1:K1"/>
    <mergeCell ref="E2:E3"/>
    <mergeCell ref="F2:F3"/>
    <mergeCell ref="G2:G3"/>
    <mergeCell ref="H2:J2"/>
    <mergeCell ref="K2:K3"/>
  </mergeCells>
  <dataValidations count="1">
    <dataValidation type="whole" allowBlank="1" showInputMessage="1" showErrorMessage="1" errorTitle="Attention!" error="Valeur numérique attendue" sqref="G4:H14 I5:I9 J16 K5:L9 H65:J65 J117 H133:J133 G133:G139 H134:I139 G200:I207 K200:K207 H66:I115 G16:G115 G117:I131 G140:I160 I11:I14 H15:I64 L11:L21 L23:L207 K11:K198 G163:I198" xr:uid="{9F03AB52-1385-4F3C-A29B-F7E93762456D}">
      <formula1>-9999999999999</formula1>
      <formula2>9999999999999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Encaissement</vt:lpstr>
      <vt:lpstr>Décaissements</vt:lpstr>
      <vt:lpstr>Gestion Entrées</vt:lpstr>
      <vt:lpstr>Gestion des Sortie</vt:lpstr>
      <vt:lpstr>Journal des ventes</vt:lpstr>
      <vt:lpstr>Transfert de stock</vt:lpstr>
      <vt:lpstr>Inventaire</vt:lpstr>
      <vt:lpstr>STOCK</vt:lpstr>
      <vt:lpstr>Amortissements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Rasmane Koudougou</dc:creator>
  <cp:lastModifiedBy>Ousseni Ouedraogo</cp:lastModifiedBy>
  <dcterms:created xsi:type="dcterms:W3CDTF">2025-03-27T15:09:24Z</dcterms:created>
  <dcterms:modified xsi:type="dcterms:W3CDTF">2025-12-30T17:09:50Z</dcterms:modified>
</cp:coreProperties>
</file>